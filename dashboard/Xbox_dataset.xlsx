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BF882AF7-B328-4720-81AA-F7B1F035B54E}" xr6:coauthVersionLast="47" xr6:coauthVersionMax="47" xr10:uidLastSave="{00000000-0000-0000-0000-000000000000}"/>
  <bookViews>
    <workbookView xWindow="-20610" yWindow="-1350" windowWidth="20730" windowHeight="11760" tabRatio="0" firstSheet="3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62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3" l="1"/>
  <c r="E78" i="3"/>
  <c r="E36" i="3"/>
  <c r="E25" i="3"/>
</calcChain>
</file>

<file path=xl/sharedStrings.xml><?xml version="1.0" encoding="utf-8"?>
<sst xmlns="http://schemas.openxmlformats.org/spreadsheetml/2006/main" count="1865" uniqueCount="329">
  <si>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</si>
  <si>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</si>
  <si>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</si>
  <si>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</si>
  <si>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</si>
  <si>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</si>
  <si>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</si>
  <si>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</si>
  <si>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</si>
  <si>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</si>
  <si>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</si>
  <si>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</si>
  <si>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</si>
  <si>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</si>
  <si>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</si>
  <si>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</si>
  <si>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</si>
  <si>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</si>
  <si>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</si>
  <si>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</si>
  <si>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</si>
  <si>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</si>
  <si>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</si>
  <si>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</si>
  <si>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</si>
  <si>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</si>
  <si>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</si>
  <si>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</si>
  <si>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</si>
  <si>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</si>
  <si>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</si>
  <si>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</si>
  <si>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</si>
  <si>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</si>
  <si>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</si>
  <si>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</si>
  <si>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</si>
  <si>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</si>
  <si>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</si>
  <si>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</si>
  <si>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</si>
  <si>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</si>
  <si>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</si>
  <si>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</si>
  <si>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</si>
  <si>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</si>
  <si>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</si>
  <si>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</si>
  <si>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</si>
  <si>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</si>
  <si>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</si>
  <si>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</si>
  <si>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</si>
  <si>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</si>
  <si>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</si>
  <si>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</si>
  <si>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</si>
  <si>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</si>
  <si>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</si>
  <si>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</si>
  <si>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</si>
  <si>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</si>
  <si>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</si>
  <si>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</si>
  <si>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</si>
  <si>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</si>
  <si>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</si>
  <si>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</si>
  <si>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</si>
  <si>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</si>
  <si>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</si>
  <si>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</si>
  <si>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</si>
  <si>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</si>
  <si>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</si>
  <si>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</si>
  <si>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</si>
  <si>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</si>
  <si>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</si>
  <si>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</si>
  <si>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</si>
  <si>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</si>
  <si>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</si>
  <si>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</si>
  <si>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</si>
  <si>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</si>
  <si>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</si>
  <si>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</si>
  <si>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</si>
  <si>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</si>
  <si>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</si>
  <si>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</si>
  <si>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</si>
  <si>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</si>
  <si>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</si>
  <si>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</si>
  <si>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</si>
  <si>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</si>
  <si>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</si>
  <si>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</si>
  <si>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</si>
  <si>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</si>
  <si>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</si>
  <si>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</si>
  <si>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</si>
  <si>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</si>
  <si>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</si>
  <si>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</si>
  <si>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</si>
  <si>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</si>
  <si>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</si>
  <si>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</si>
  <si>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</si>
  <si>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</si>
  <si>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</si>
  <si>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</si>
  <si>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</si>
  <si>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</si>
  <si>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</si>
  <si>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</si>
  <si>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</si>
  <si>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</si>
  <si>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</si>
  <si>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</si>
  <si>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</si>
  <si>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</si>
  <si>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</si>
  <si>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</si>
  <si>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</si>
  <si>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</si>
  <si>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</si>
  <si>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</si>
  <si>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</si>
  <si>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</si>
  <si>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</si>
  <si>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</si>
  <si>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</si>
  <si>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</si>
  <si>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</si>
  <si>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</si>
  <si>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</si>
  <si>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</si>
  <si>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</si>
  <si>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</si>
  <si>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</si>
  <si>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</si>
  <si>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</si>
  <si>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</si>
  <si>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</si>
  <si>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</si>
  <si>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</si>
  <si>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</si>
  <si>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</si>
  <si>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</si>
  <si>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</si>
  <si>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</si>
  <si>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</si>
  <si>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</si>
  <si>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</si>
  <si>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</si>
  <si>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</si>
  <si>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</si>
  <si>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</si>
  <si>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</si>
  <si>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</si>
  <si>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</si>
  <si>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</si>
  <si>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</si>
  <si>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</si>
  <si>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</si>
  <si>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</si>
  <si>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</si>
  <si>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</si>
  <si>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</si>
  <si>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</si>
  <si>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</si>
  <si>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</si>
  <si>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</si>
  <si>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</si>
  <si>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</si>
  <si>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</si>
  <si>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</si>
  <si>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</si>
  <si>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</si>
  <si>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</si>
  <si>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</si>
  <si>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</si>
  <si>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</si>
  <si>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</si>
  <si>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</si>
  <si>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</si>
  <si>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</si>
  <si>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</si>
  <si>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</si>
  <si>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</si>
  <si>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</si>
  <si>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</si>
  <si>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</si>
  <si>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</si>
  <si>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</si>
  <si>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</si>
  <si>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</si>
  <si>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</si>
  <si>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</si>
  <si>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</si>
  <si>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</si>
  <si>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</si>
  <si>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</si>
  <si>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</si>
  <si>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</si>
  <si>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</si>
  <si>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</si>
  <si>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</si>
  <si>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</si>
  <si>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</si>
  <si>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</si>
  <si>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</si>
  <si>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</si>
  <si>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</si>
  <si>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</si>
  <si>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</si>
  <si>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</si>
  <si>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</si>
  <si>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</si>
  <si>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</si>
  <si>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</si>
  <si>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</si>
  <si>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</si>
  <si>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</si>
  <si>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</si>
  <si>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</si>
  <si>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</si>
  <si>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</si>
  <si>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</si>
  <si>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</si>
  <si>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</si>
  <si>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</si>
  <si>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</si>
  <si>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</si>
  <si>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</si>
  <si>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</si>
  <si>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</si>
  <si>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</si>
  <si>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</si>
  <si>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</si>
  <si>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</si>
  <si>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</si>
  <si>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</si>
  <si>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</si>
  <si>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</si>
  <si>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</si>
  <si>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</si>
  <si>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</si>
  <si>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</si>
  <si>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</si>
  <si>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</si>
  <si>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</si>
  <si>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</si>
  <si>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</si>
  <si>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</si>
  <si>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</si>
  <si>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</si>
  <si>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</si>
  <si>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</si>
  <si>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</si>
  <si>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</si>
  <si>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</si>
  <si>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</si>
  <si>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</si>
  <si>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</si>
  <si>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</si>
  <si>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</si>
  <si>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</si>
  <si>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</si>
  <si>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</si>
  <si>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</si>
  <si>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</si>
  <si>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</si>
  <si>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</si>
  <si>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</si>
  <si>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</si>
  <si>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</si>
  <si>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</si>
  <si>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</si>
  <si>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</si>
  <si>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</si>
  <si>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</si>
  <si>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</si>
  <si>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</si>
  <si>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</si>
  <si>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</si>
  <si>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</si>
  <si>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</si>
  <si>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</si>
  <si>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</si>
  <si>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</si>
  <si>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</si>
  <si>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</si>
  <si>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</si>
  <si>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</si>
  <si>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</si>
  <si>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</si>
  <si>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</si>
  <si>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</si>
  <si>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</si>
  <si>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</si>
  <si>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</si>
  <si>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</si>
  <si>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</si>
  <si>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</si>
  <si>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</si>
  <si>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</si>
  <si>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1 - Qual faturamento Total de vendas de planos anuais (contendo todas as assinaturas agregadas)</t>
  </si>
  <si>
    <t>Pergunta de Negócio 2 - Qual Faturamento Total de vendas de planos anuais , separado por auto renovação não é por auto renovação</t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</si>
  <si>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</si>
  <si>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</si>
  <si>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</si>
  <si>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</si>
  <si>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</si>
  <si>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</si>
  <si>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</si>
  <si>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Pergunta 5 -  Qual o plano os assinantes tendem a preferir</t>
  </si>
  <si>
    <t>Contagem de Subscriber ID</t>
  </si>
  <si>
    <t>Rótulos de Coluna</t>
  </si>
  <si>
    <t>Pergunta 6 - Qual o valor total descontado da fatura dado os cupons de desconto e como eles estão espalhados entre os planos de assinatura.</t>
  </si>
  <si>
    <t>Soma de Coupon Value</t>
  </si>
  <si>
    <t>Soma de EA Play Season PassPrice</t>
  </si>
  <si>
    <t>Soma de Subscription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</si>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</sst>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164" fontId="0" fillId="0" borderId="0" xfId="2" applyNumberFormat="1" applyFont="1" applyAlignment="1">
      <alignment horizontal="center" vertical="center" wrapText="1"/>
    </xf>
    <xf numFmtId="164" fontId="0" fillId="0" borderId="0" xfId="0" applyNumberFormat="1"/>
    <xf numFmtId="0" fontId="4" fillId="9" borderId="0" xfId="3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[Xbox_dataset.xlsx]C̳álculos!tbl_annual_total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[Xbox_dataset.xlsx]C̳álculos!Tabela dinâmica1</c:name>
    <c:fmtId val="10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C̳álculos!$C$43:$C$44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C̳álculos!$B$45:$B$47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C̳álculos!$C$45:$C$47</c:f>
              <c:numCache>
                <c:formatCode>General</c:formatCode>
                <c:ptCount val="2"/>
                <c:pt idx="0">
                  <c:v>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0-42B7-BB63-DF0CD116DBB2}"/>
            </c:ext>
          </c:extLst>
        </c:ser>
        <c:ser>
          <c:idx val="1"/>
          <c:order val="1"/>
          <c:tx>
            <c:strRef>
              <c:f>C̳álculos!$D$43:$D$44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C̳álculos!$B$45:$B$47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C̳álculos!$D$45:$D$47</c:f>
              <c:numCache>
                <c:formatCode>General</c:formatCode>
                <c:ptCount val="2"/>
                <c:pt idx="0">
                  <c:v>3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0-42B7-BB63-DF0CD116DBB2}"/>
            </c:ext>
          </c:extLst>
        </c:ser>
        <c:ser>
          <c:idx val="2"/>
          <c:order val="2"/>
          <c:tx>
            <c:strRef>
              <c:f>C̳álculos!$E$43:$E$44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C̳álculos!$B$45:$B$47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C̳álculos!$E$45:$E$47</c:f>
              <c:numCache>
                <c:formatCode>General</c:formatCode>
                <c:ptCount val="2"/>
                <c:pt idx="0">
                  <c:v>14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0-42B7-BB63-DF0CD116D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8444936"/>
        <c:axId val="1796152328"/>
      </c:barChart>
      <c:catAx>
        <c:axId val="1768444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52328"/>
        <c:crosses val="autoZero"/>
        <c:auto val="1"/>
        <c:lblAlgn val="ctr"/>
        <c:lblOffset val="100"/>
        <c:noMultiLvlLbl val="0"/>
      </c:catAx>
      <c:valAx>
        <c:axId val="179615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4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[Xbox_dataset.xlsx]C̳álculos!Tabela dinâmica3</c:name>
    <c:fmtId val="22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C̳álculos!$C$64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C̳álculos!$B$65:$B$68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C̳álculos!$C$65:$C$68</c:f>
              <c:numCache>
                <c:formatCode>_("R$"* #,##0.00_);_("R$"* \(#,##0.00\);_("R$"* "-"??_);_(@_)</c:formatCode>
                <c:ptCount val="3"/>
                <c:pt idx="0">
                  <c:v>8</c:v>
                </c:pt>
                <c:pt idx="1">
                  <c:v>325</c:v>
                </c:pt>
                <c:pt idx="2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2-4834-A421-426E06BC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675272"/>
        <c:axId val="2090486280"/>
      </c:barChart>
      <c:lineChart>
        <c:grouping val="standard"/>
        <c:varyColors val="0"/>
        <c:ser>
          <c:idx val="1"/>
          <c:order val="1"/>
          <c:tx>
            <c:strRef>
              <c:f>C̳álculos!$D$64</c:f>
              <c:strCache>
                <c:ptCount val="1"/>
                <c:pt idx="0">
                  <c:v>Contagem de Subscriber ID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C̳álculos!$B$65:$B$68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C̳álculos!$D$65:$D$68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2-4834-A421-426E06BC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964103"/>
        <c:axId val="343029255"/>
      </c:lineChart>
      <c:catAx>
        <c:axId val="202567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86280"/>
        <c:crosses val="autoZero"/>
        <c:auto val="1"/>
        <c:lblAlgn val="ctr"/>
        <c:lblOffset val="100"/>
        <c:noMultiLvlLbl val="0"/>
      </c:catAx>
      <c:valAx>
        <c:axId val="20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75272"/>
        <c:crosses val="autoZero"/>
        <c:crossBetween val="between"/>
      </c:valAx>
      <c:valAx>
        <c:axId val="3430292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64103"/>
        <c:crosses val="max"/>
        <c:crossBetween val="between"/>
      </c:valAx>
      <c:catAx>
        <c:axId val="816964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3029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5</xdr:row>
      <xdr:rowOff>304800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5</xdr:row>
      <xdr:rowOff>304800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47</xdr:row>
      <xdr:rowOff>180975</xdr:rowOff>
    </xdr:from>
    <xdr:to>
      <xdr:col>19</xdr:col>
      <xdr:colOff>57150</xdr:colOff>
      <xdr:row>51</xdr:row>
      <xdr:rowOff>161925</xdr:rowOff>
    </xdr:to>
    <xdr:sp macro="" textlink="">
      <xdr:nvSpPr>
        <xdr:cNvPr id="38" name="Retângulo Arredondado 37">
          <a:extLst>
            <a:ext uri="{FF2B5EF4-FFF2-40B4-BE49-F238E27FC236}">
              <a16:creationId xmlns:a16="http://schemas.microsoft.com/office/drawing/2014/main" id="{4ADA2EF2-6FED-4184-BD48-57A0D72F40B9}"/>
            </a:ext>
            <a:ext uri="{147F2762-F138-4A5C-976F-8EAC2B608ADB}">
              <a16:predDERef xmlns:a16="http://schemas.microsoft.com/office/drawing/2014/main" pred="{40AF28A4-1B78-442C-8209-6FDBD70E69DA}"/>
            </a:ext>
          </a:extLst>
        </xdr:cNvPr>
        <xdr:cNvSpPr/>
      </xdr:nvSpPr>
      <xdr:spPr>
        <a:xfrm>
          <a:off x="7448550" y="8991600"/>
          <a:ext cx="4867275" cy="7429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180975</xdr:colOff>
      <xdr:row>47</xdr:row>
      <xdr:rowOff>152400</xdr:rowOff>
    </xdr:from>
    <xdr:to>
      <xdr:col>10</xdr:col>
      <xdr:colOff>57150</xdr:colOff>
      <xdr:row>51</xdr:row>
      <xdr:rowOff>133350</xdr:rowOff>
    </xdr:to>
    <xdr:sp macro="" textlink="">
      <xdr:nvSpPr>
        <xdr:cNvPr id="39" name="Retângulo Arredondado 38">
          <a:extLst>
            <a:ext uri="{FF2B5EF4-FFF2-40B4-BE49-F238E27FC236}">
              <a16:creationId xmlns:a16="http://schemas.microsoft.com/office/drawing/2014/main" id="{80FB2CC8-B895-4687-A654-5665D1F7F306}"/>
            </a:ext>
            <a:ext uri="{147F2762-F138-4A5C-976F-8EAC2B608ADB}">
              <a16:predDERef xmlns:a16="http://schemas.microsoft.com/office/drawing/2014/main" pred="{4ADA2EF2-6FED-4184-BD48-57A0D72F40B9}"/>
            </a:ext>
          </a:extLst>
        </xdr:cNvPr>
        <xdr:cNvSpPr/>
      </xdr:nvSpPr>
      <xdr:spPr>
        <a:xfrm>
          <a:off x="2247900" y="8963025"/>
          <a:ext cx="4752975" cy="7429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504825</xdr:colOff>
      <xdr:row>33</xdr:row>
      <xdr:rowOff>104775</xdr:rowOff>
    </xdr:from>
    <xdr:to>
      <xdr:col>19</xdr:col>
      <xdr:colOff>57150</xdr:colOff>
      <xdr:row>37</xdr:row>
      <xdr:rowOff>85725</xdr:rowOff>
    </xdr:to>
    <xdr:sp macro="" textlink="">
      <xdr:nvSpPr>
        <xdr:cNvPr id="37" name="Retângulo Arredondado 36">
          <a:extLst>
            <a:ext uri="{FF2B5EF4-FFF2-40B4-BE49-F238E27FC236}">
              <a16:creationId xmlns:a16="http://schemas.microsoft.com/office/drawing/2014/main" id="{10E3F9B3-89F6-4060-8FA3-B6FE2191E31A}"/>
            </a:ext>
            <a:ext uri="{147F2762-F138-4A5C-976F-8EAC2B608ADB}">
              <a16:predDERef xmlns:a16="http://schemas.microsoft.com/office/drawing/2014/main" pred="{80FB2CC8-B895-4687-A654-5665D1F7F306}"/>
            </a:ext>
          </a:extLst>
        </xdr:cNvPr>
        <xdr:cNvSpPr/>
      </xdr:nvSpPr>
      <xdr:spPr>
        <a:xfrm>
          <a:off x="7448550" y="6248400"/>
          <a:ext cx="4867275" cy="742950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171450</xdr:colOff>
      <xdr:row>33</xdr:row>
      <xdr:rowOff>85725</xdr:rowOff>
    </xdr:from>
    <xdr:to>
      <xdr:col>10</xdr:col>
      <xdr:colOff>66675</xdr:colOff>
      <xdr:row>37</xdr:row>
      <xdr:rowOff>66675</xdr:rowOff>
    </xdr:to>
    <xdr:sp macro="" textlink="">
      <xdr:nvSpPr>
        <xdr:cNvPr id="35" name="Retângulo Arredondado 34">
          <a:extLst>
            <a:ext uri="{FF2B5EF4-FFF2-40B4-BE49-F238E27FC236}">
              <a16:creationId xmlns:a16="http://schemas.microsoft.com/office/drawing/2014/main" id="{43E75E51-27E6-1BE5-FCB3-BB4C16D9CD49}"/>
            </a:ext>
            <a:ext uri="{147F2762-F138-4A5C-976F-8EAC2B608ADB}">
              <a16:predDERef xmlns:a16="http://schemas.microsoft.com/office/drawing/2014/main" pred="{40AF28A4-1B78-442C-8209-6FDBD70E69DA}"/>
            </a:ext>
          </a:extLst>
        </xdr:cNvPr>
        <xdr:cNvSpPr/>
      </xdr:nvSpPr>
      <xdr:spPr>
        <a:xfrm>
          <a:off x="2238375" y="6229350"/>
          <a:ext cx="4772025" cy="742950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40481</xdr:colOff>
      <xdr:row>6</xdr:row>
      <xdr:rowOff>61913</xdr:rowOff>
    </xdr:from>
    <xdr:to>
      <xdr:col>19</xdr:col>
      <xdr:colOff>4762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7593806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9525</xdr:colOff>
      <xdr:row>17</xdr:row>
      <xdr:rowOff>85725</xdr:rowOff>
    </xdr:from>
    <xdr:to>
      <xdr:col>19</xdr:col>
      <xdr:colOff>47625</xdr:colOff>
      <xdr:row>30</xdr:row>
      <xdr:rowOff>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076450" y="3181350"/>
          <a:ext cx="10229850" cy="2390775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161925</xdr:colOff>
      <xdr:row>36</xdr:row>
      <xdr:rowOff>85725</xdr:rowOff>
    </xdr:from>
    <xdr:to>
      <xdr:col>10</xdr:col>
      <xdr:colOff>66675</xdr:colOff>
      <xdr:row>49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814285-5875-4AFA-8B71-A9CAA30E7836}"/>
            </a:ext>
            <a:ext uri="{147F2762-F138-4A5C-976F-8EAC2B608ADB}">
              <a16:predDERef xmlns:a16="http://schemas.microsoft.com/office/drawing/2014/main" pred="{08565BD9-58FC-B6E1-F4E6-6B45AE50E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485775</xdr:colOff>
      <xdr:row>36</xdr:row>
      <xdr:rowOff>85725</xdr:rowOff>
    </xdr:from>
    <xdr:to>
      <xdr:col>19</xdr:col>
      <xdr:colOff>66675</xdr:colOff>
      <xdr:row>50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DB7D38-7917-4A1C-B8EC-FA6222B58C1A}"/>
            </a:ext>
            <a:ext uri="{147F2762-F138-4A5C-976F-8EAC2B608ADB}">
              <a16:predDERef xmlns:a16="http://schemas.microsoft.com/office/drawing/2014/main" pred="{11814285-5875-4AFA-8B71-A9CAA30E7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428625</xdr:colOff>
      <xdr:row>0</xdr:row>
      <xdr:rowOff>171450</xdr:rowOff>
    </xdr:from>
    <xdr:to>
      <xdr:col>0</xdr:col>
      <xdr:colOff>1123950</xdr:colOff>
      <xdr:row>3</xdr:row>
      <xdr:rowOff>76200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8C6DDED-CE11-4E84-B34C-268AA2178D5C}"/>
            </a:ext>
            <a:ext uri="{147F2762-F138-4A5C-976F-8EAC2B608ADB}">
              <a16:predDERef xmlns:a16="http://schemas.microsoft.com/office/drawing/2014/main" pred="{6EDB7D38-7917-4A1C-B8EC-FA6222B58C1A}"/>
            </a:ext>
          </a:extLst>
        </xdr:cNvPr>
        <xdr:cNvSpPr/>
      </xdr:nvSpPr>
      <xdr:spPr>
        <a:xfrm>
          <a:off x="428625" y="171450"/>
          <a:ext cx="695325" cy="695325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104775</xdr:colOff>
      <xdr:row>5</xdr:row>
      <xdr:rowOff>9525</xdr:rowOff>
    </xdr:from>
    <xdr:to>
      <xdr:col>0</xdr:col>
      <xdr:colOff>1562100</xdr:colOff>
      <xdr:row>7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6FB1F5-3E2A-DCD8-8538-C4CBC84D1E8A}"/>
            </a:ext>
            <a:ext uri="{147F2762-F138-4A5C-976F-8EAC2B608ADB}">
              <a16:predDERef xmlns:a16="http://schemas.microsoft.com/office/drawing/2014/main" pred="{28C6DDED-CE11-4E84-B34C-268AA2178D5C}"/>
            </a:ext>
          </a:extLst>
        </xdr:cNvPr>
        <xdr:cNvSpPr txBox="1"/>
      </xdr:nvSpPr>
      <xdr:spPr>
        <a:xfrm>
          <a:off x="104775" y="1000125"/>
          <a:ext cx="1457325" cy="2667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&gt; Bem Vindo, Roberto</a:t>
          </a:r>
        </a:p>
      </xdr:txBody>
    </xdr:sp>
    <xdr:clientData/>
  </xdr:twoCellAnchor>
  <xdr:twoCellAnchor>
    <xdr:from>
      <xdr:col>2</xdr:col>
      <xdr:colOff>28575</xdr:colOff>
      <xdr:row>3</xdr:row>
      <xdr:rowOff>57150</xdr:rowOff>
    </xdr:from>
    <xdr:to>
      <xdr:col>8</xdr:col>
      <xdr:colOff>600075</xdr:colOff>
      <xdr:row>5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D8636E9-2895-46D4-97F9-B369B8ADE4CE}"/>
            </a:ext>
            <a:ext uri="{147F2762-F138-4A5C-976F-8EAC2B608ADB}">
              <a16:predDERef xmlns:a16="http://schemas.microsoft.com/office/drawing/2014/main" pred="{3E6FB1F5-3E2A-DCD8-8538-C4CBC84D1E8A}"/>
            </a:ext>
          </a:extLst>
        </xdr:cNvPr>
        <xdr:cNvSpPr txBox="1"/>
      </xdr:nvSpPr>
      <xdr:spPr>
        <a:xfrm>
          <a:off x="2095500" y="847725"/>
          <a:ext cx="4229100" cy="2667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Data range: 01/01/2024 - 31/12/2024 | Update date: 24/11/2025 </a:t>
          </a:r>
        </a:p>
      </xdr:txBody>
    </xdr:sp>
    <xdr:clientData/>
  </xdr:twoCellAnchor>
  <xdr:twoCellAnchor>
    <xdr:from>
      <xdr:col>2</xdr:col>
      <xdr:colOff>180975</xdr:colOff>
      <xdr:row>49</xdr:row>
      <xdr:rowOff>57150</xdr:rowOff>
    </xdr:from>
    <xdr:to>
      <xdr:col>10</xdr:col>
      <xdr:colOff>57150</xdr:colOff>
      <xdr:row>50</xdr:row>
      <xdr:rowOff>28575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7045374F-172C-448E-859E-AABD207D52C5}"/>
            </a:ext>
            <a:ext uri="{147F2762-F138-4A5C-976F-8EAC2B608ADB}">
              <a16:predDERef xmlns:a16="http://schemas.microsoft.com/office/drawing/2014/main" pred="{9D8636E9-2895-46D4-97F9-B369B8ADE4CE}"/>
            </a:ext>
          </a:extLst>
        </xdr:cNvPr>
        <xdr:cNvSpPr/>
      </xdr:nvSpPr>
      <xdr:spPr>
        <a:xfrm>
          <a:off x="2247900" y="9248775"/>
          <a:ext cx="4752975" cy="1619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504825</xdr:colOff>
      <xdr:row>49</xdr:row>
      <xdr:rowOff>142875</xdr:rowOff>
    </xdr:from>
    <xdr:to>
      <xdr:col>19</xdr:col>
      <xdr:colOff>47625</xdr:colOff>
      <xdr:row>50</xdr:row>
      <xdr:rowOff>114300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F50595AD-6FAE-42AE-A768-207DC50C7059}"/>
            </a:ext>
            <a:ext uri="{147F2762-F138-4A5C-976F-8EAC2B608ADB}">
              <a16:predDERef xmlns:a16="http://schemas.microsoft.com/office/drawing/2014/main" pred="{7045374F-172C-448E-859E-AABD207D52C5}"/>
            </a:ext>
          </a:extLst>
        </xdr:cNvPr>
        <xdr:cNvSpPr/>
      </xdr:nvSpPr>
      <xdr:spPr>
        <a:xfrm>
          <a:off x="7448550" y="9334500"/>
          <a:ext cx="4857750" cy="1619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142875</xdr:colOff>
      <xdr:row>33</xdr:row>
      <xdr:rowOff>161925</xdr:rowOff>
    </xdr:from>
    <xdr:to>
      <xdr:col>17</xdr:col>
      <xdr:colOff>76200</xdr:colOff>
      <xdr:row>35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F53BD8-D8BE-7232-FFA8-83DE52BC4E92}"/>
            </a:ext>
            <a:ext uri="{147F2762-F138-4A5C-976F-8EAC2B608ADB}">
              <a16:predDERef xmlns:a16="http://schemas.microsoft.com/office/drawing/2014/main" pred="{F50595AD-6FAE-42AE-A768-207DC50C7059}"/>
            </a:ext>
          </a:extLst>
        </xdr:cNvPr>
        <xdr:cNvSpPr txBox="1"/>
      </xdr:nvSpPr>
      <xdr:spPr>
        <a:xfrm>
          <a:off x="8743950" y="6305550"/>
          <a:ext cx="2371725" cy="3810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Cupom Usage Tendecy</a:t>
          </a:r>
        </a:p>
      </xdr:txBody>
    </xdr:sp>
    <xdr:clientData/>
  </xdr:twoCellAnchor>
  <xdr:twoCellAnchor>
    <xdr:from>
      <xdr:col>4</xdr:col>
      <xdr:colOff>9525</xdr:colOff>
      <xdr:row>34</xdr:row>
      <xdr:rowOff>9525</xdr:rowOff>
    </xdr:from>
    <xdr:to>
      <xdr:col>8</xdr:col>
      <xdr:colOff>219075</xdr:colOff>
      <xdr:row>35</xdr:row>
      <xdr:rowOff>180975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CBC4F6-BE74-334A-D764-8BBD6676AB84}"/>
            </a:ext>
            <a:ext uri="{147F2762-F138-4A5C-976F-8EAC2B608ADB}">
              <a16:predDERef xmlns:a16="http://schemas.microsoft.com/office/drawing/2014/main" pred="{C2F53BD8-D8BE-7232-FFA8-83DE52BC4E92}"/>
            </a:ext>
          </a:extLst>
        </xdr:cNvPr>
        <xdr:cNvSpPr txBox="1"/>
      </xdr:nvSpPr>
      <xdr:spPr>
        <a:xfrm>
          <a:off x="3295650" y="6343650"/>
          <a:ext cx="2647950" cy="361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Plan Subscription Tendecy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x v="0"/>
    <n v="60"/>
  </r>
  <r>
    <n v="3232"/>
    <x v="1"/>
    <x v="1"/>
    <d v="2024-01-15T00:00:00"/>
    <x v="1"/>
    <n v="5"/>
    <x v="1"/>
    <x v="1"/>
    <x v="1"/>
    <s v="No"/>
    <n v="0"/>
    <x v="1"/>
    <n v="5"/>
  </r>
  <r>
    <n v="3233"/>
    <x v="2"/>
    <x v="2"/>
    <d v="2024-02-10T00:00:00"/>
    <x v="0"/>
    <n v="10"/>
    <x v="2"/>
    <x v="1"/>
    <x v="1"/>
    <s v="Yes"/>
    <n v="20"/>
    <x v="2"/>
    <n v="20"/>
  </r>
  <r>
    <n v="3234"/>
    <x v="3"/>
    <x v="0"/>
    <d v="2024-02-20T00:00:00"/>
    <x v="1"/>
    <n v="15"/>
    <x v="0"/>
    <x v="0"/>
    <x v="0"/>
    <s v="Yes"/>
    <n v="20"/>
    <x v="3"/>
    <n v="62"/>
  </r>
  <r>
    <n v="3235"/>
    <x v="4"/>
    <x v="1"/>
    <d v="2024-03-05T00:00:00"/>
    <x v="0"/>
    <n v="5"/>
    <x v="0"/>
    <x v="1"/>
    <x v="1"/>
    <s v="No"/>
    <n v="0"/>
    <x v="4"/>
    <n v="4"/>
  </r>
  <r>
    <n v="3236"/>
    <x v="5"/>
    <x v="2"/>
    <d v="2024-03-02T00:00:00"/>
    <x v="1"/>
    <n v="10"/>
    <x v="0"/>
    <x v="1"/>
    <x v="1"/>
    <s v="Yes"/>
    <n v="20"/>
    <x v="5"/>
    <n v="28"/>
  </r>
  <r>
    <n v="3237"/>
    <x v="6"/>
    <x v="0"/>
    <d v="2024-03-03T00:00:00"/>
    <x v="0"/>
    <n v="15"/>
    <x v="2"/>
    <x v="0"/>
    <x v="0"/>
    <s v="Yes"/>
    <n v="20"/>
    <x v="2"/>
    <n v="55"/>
  </r>
  <r>
    <n v="3238"/>
    <x v="7"/>
    <x v="1"/>
    <d v="2024-03-04T00:00:00"/>
    <x v="0"/>
    <n v="5"/>
    <x v="1"/>
    <x v="1"/>
    <x v="1"/>
    <s v="No"/>
    <n v="0"/>
    <x v="1"/>
    <n v="5"/>
  </r>
  <r>
    <n v="3239"/>
    <x v="8"/>
    <x v="0"/>
    <d v="2024-03-05T00:00:00"/>
    <x v="1"/>
    <n v="15"/>
    <x v="0"/>
    <x v="0"/>
    <x v="0"/>
    <s v="Yes"/>
    <n v="20"/>
    <x v="0"/>
    <n v="60"/>
  </r>
  <r>
    <n v="3240"/>
    <x v="9"/>
    <x v="2"/>
    <d v="2024-03-06T00:00:00"/>
    <x v="0"/>
    <n v="10"/>
    <x v="2"/>
    <x v="1"/>
    <x v="1"/>
    <s v="Yes"/>
    <n v="20"/>
    <x v="6"/>
    <n v="15"/>
  </r>
  <r>
    <n v="3241"/>
    <x v="10"/>
    <x v="1"/>
    <d v="2024-03-07T00:00:00"/>
    <x v="1"/>
    <n v="5"/>
    <x v="0"/>
    <x v="1"/>
    <x v="1"/>
    <s v="No"/>
    <n v="0"/>
    <x v="4"/>
    <n v="4"/>
  </r>
  <r>
    <n v="3242"/>
    <x v="11"/>
    <x v="0"/>
    <d v="2024-03-08T00:00:00"/>
    <x v="0"/>
    <n v="15"/>
    <x v="1"/>
    <x v="0"/>
    <x v="0"/>
    <s v="Yes"/>
    <n v="20"/>
    <x v="7"/>
    <n v="45"/>
  </r>
  <r>
    <n v="3243"/>
    <x v="12"/>
    <x v="2"/>
    <d v="2024-03-09T00:00:00"/>
    <x v="1"/>
    <n v="10"/>
    <x v="0"/>
    <x v="1"/>
    <x v="1"/>
    <s v="Yes"/>
    <n v="20"/>
    <x v="2"/>
    <n v="20"/>
  </r>
  <r>
    <n v="3244"/>
    <x v="13"/>
    <x v="1"/>
    <d v="2024-03-10T00:00:00"/>
    <x v="0"/>
    <n v="5"/>
    <x v="2"/>
    <x v="1"/>
    <x v="1"/>
    <s v="No"/>
    <n v="0"/>
    <x v="1"/>
    <n v="5"/>
  </r>
  <r>
    <n v="3245"/>
    <x v="14"/>
    <x v="0"/>
    <d v="2024-03-11T00:00:00"/>
    <x v="1"/>
    <n v="15"/>
    <x v="0"/>
    <x v="0"/>
    <x v="0"/>
    <s v="Yes"/>
    <n v="20"/>
    <x v="8"/>
    <n v="57"/>
  </r>
  <r>
    <n v="3246"/>
    <x v="15"/>
    <x v="2"/>
    <d v="2024-03-12T00:00:00"/>
    <x v="0"/>
    <n v="10"/>
    <x v="1"/>
    <x v="1"/>
    <x v="1"/>
    <s v="Yes"/>
    <n v="20"/>
    <x v="9"/>
    <n v="18"/>
  </r>
  <r>
    <n v="3247"/>
    <x v="16"/>
    <x v="1"/>
    <d v="2024-03-13T00:00:00"/>
    <x v="1"/>
    <n v="5"/>
    <x v="0"/>
    <x v="1"/>
    <x v="1"/>
    <s v="No"/>
    <n v="0"/>
    <x v="5"/>
    <n v="3"/>
  </r>
  <r>
    <n v="3248"/>
    <x v="17"/>
    <x v="0"/>
    <d v="2024-03-14T00:00:00"/>
    <x v="0"/>
    <n v="15"/>
    <x v="2"/>
    <x v="0"/>
    <x v="0"/>
    <s v="Yes"/>
    <n v="20"/>
    <x v="10"/>
    <n v="58"/>
  </r>
  <r>
    <n v="3249"/>
    <x v="18"/>
    <x v="2"/>
    <d v="2024-03-15T00:00:00"/>
    <x v="1"/>
    <n v="10"/>
    <x v="0"/>
    <x v="1"/>
    <x v="1"/>
    <s v="Yes"/>
    <n v="20"/>
    <x v="0"/>
    <n v="25"/>
  </r>
  <r>
    <n v="3250"/>
    <x v="19"/>
    <x v="1"/>
    <d v="2024-03-16T00:00:00"/>
    <x v="0"/>
    <n v="5"/>
    <x v="1"/>
    <x v="1"/>
    <x v="1"/>
    <s v="No"/>
    <n v="0"/>
    <x v="1"/>
    <n v="5"/>
  </r>
  <r>
    <n v="3251"/>
    <x v="20"/>
    <x v="0"/>
    <d v="2024-03-17T00:00:00"/>
    <x v="1"/>
    <n v="15"/>
    <x v="0"/>
    <x v="0"/>
    <x v="0"/>
    <s v="Yes"/>
    <n v="20"/>
    <x v="3"/>
    <n v="62"/>
  </r>
  <r>
    <n v="3252"/>
    <x v="21"/>
    <x v="2"/>
    <d v="2024-03-18T00:00:00"/>
    <x v="0"/>
    <n v="10"/>
    <x v="2"/>
    <x v="1"/>
    <x v="1"/>
    <s v="Yes"/>
    <n v="20"/>
    <x v="6"/>
    <n v="15"/>
  </r>
  <r>
    <n v="3253"/>
    <x v="22"/>
    <x v="1"/>
    <d v="2024-03-19T00:00:00"/>
    <x v="1"/>
    <n v="5"/>
    <x v="0"/>
    <x v="1"/>
    <x v="1"/>
    <s v="No"/>
    <n v="0"/>
    <x v="4"/>
    <n v="4"/>
  </r>
  <r>
    <n v="3254"/>
    <x v="23"/>
    <x v="0"/>
    <d v="2024-03-20T00:00:00"/>
    <x v="0"/>
    <n v="15"/>
    <x v="1"/>
    <x v="0"/>
    <x v="0"/>
    <s v="Yes"/>
    <n v="20"/>
    <x v="7"/>
    <n v="45"/>
  </r>
  <r>
    <n v="3255"/>
    <x v="24"/>
    <x v="2"/>
    <d v="2024-03-21T00:00:00"/>
    <x v="1"/>
    <n v="10"/>
    <x v="0"/>
    <x v="1"/>
    <x v="1"/>
    <s v="Yes"/>
    <n v="20"/>
    <x v="2"/>
    <n v="20"/>
  </r>
  <r>
    <n v="3256"/>
    <x v="25"/>
    <x v="1"/>
    <d v="2024-03-22T00:00:00"/>
    <x v="0"/>
    <n v="5"/>
    <x v="2"/>
    <x v="1"/>
    <x v="1"/>
    <s v="No"/>
    <n v="0"/>
    <x v="1"/>
    <n v="5"/>
  </r>
  <r>
    <n v="3257"/>
    <x v="26"/>
    <x v="0"/>
    <d v="2024-03-23T00:00:00"/>
    <x v="1"/>
    <n v="15"/>
    <x v="0"/>
    <x v="0"/>
    <x v="0"/>
    <s v="Yes"/>
    <n v="20"/>
    <x v="0"/>
    <n v="60"/>
  </r>
  <r>
    <n v="3258"/>
    <x v="27"/>
    <x v="2"/>
    <d v="2024-03-24T00:00:00"/>
    <x v="0"/>
    <n v="10"/>
    <x v="1"/>
    <x v="1"/>
    <x v="1"/>
    <s v="Yes"/>
    <n v="20"/>
    <x v="6"/>
    <n v="15"/>
  </r>
  <r>
    <n v="3259"/>
    <x v="28"/>
    <x v="1"/>
    <d v="2024-03-25T00:00:00"/>
    <x v="1"/>
    <n v="5"/>
    <x v="0"/>
    <x v="1"/>
    <x v="1"/>
    <s v="No"/>
    <n v="0"/>
    <x v="4"/>
    <n v="4"/>
  </r>
  <r>
    <n v="3260"/>
    <x v="29"/>
    <x v="0"/>
    <d v="2024-03-26T00:00:00"/>
    <x v="0"/>
    <n v="15"/>
    <x v="2"/>
    <x v="0"/>
    <x v="0"/>
    <s v="Yes"/>
    <n v="20"/>
    <x v="10"/>
    <n v="58"/>
  </r>
  <r>
    <n v="3261"/>
    <x v="30"/>
    <x v="2"/>
    <d v="2024-03-27T00:00:00"/>
    <x v="1"/>
    <n v="10"/>
    <x v="0"/>
    <x v="1"/>
    <x v="1"/>
    <s v="Yes"/>
    <n v="20"/>
    <x v="2"/>
    <n v="20"/>
  </r>
  <r>
    <n v="3262"/>
    <x v="31"/>
    <x v="1"/>
    <d v="2024-03-28T00:00:00"/>
    <x v="0"/>
    <n v="5"/>
    <x v="1"/>
    <x v="1"/>
    <x v="1"/>
    <s v="No"/>
    <n v="0"/>
    <x v="1"/>
    <n v="5"/>
  </r>
  <r>
    <n v="3263"/>
    <x v="32"/>
    <x v="0"/>
    <d v="2024-03-29T00:00:00"/>
    <x v="1"/>
    <n v="15"/>
    <x v="0"/>
    <x v="0"/>
    <x v="0"/>
    <s v="Yes"/>
    <n v="20"/>
    <x v="3"/>
    <n v="62"/>
  </r>
  <r>
    <n v="3264"/>
    <x v="33"/>
    <x v="2"/>
    <d v="2024-03-30T00:00:00"/>
    <x v="0"/>
    <n v="10"/>
    <x v="2"/>
    <x v="1"/>
    <x v="1"/>
    <s v="Yes"/>
    <n v="20"/>
    <x v="6"/>
    <n v="15"/>
  </r>
  <r>
    <n v="3265"/>
    <x v="34"/>
    <x v="1"/>
    <d v="2024-03-31T00:00:00"/>
    <x v="1"/>
    <n v="5"/>
    <x v="0"/>
    <x v="1"/>
    <x v="1"/>
    <s v="No"/>
    <n v="0"/>
    <x v="4"/>
    <n v="4"/>
  </r>
  <r>
    <n v="3266"/>
    <x v="35"/>
    <x v="1"/>
    <d v="2024-04-01T00:00:00"/>
    <x v="0"/>
    <n v="5"/>
    <x v="0"/>
    <x v="1"/>
    <x v="1"/>
    <s v="No"/>
    <n v="0"/>
    <x v="1"/>
    <n v="5"/>
  </r>
  <r>
    <n v="3267"/>
    <x v="36"/>
    <x v="0"/>
    <d v="2024-04-02T00:00:00"/>
    <x v="1"/>
    <n v="15"/>
    <x v="2"/>
    <x v="0"/>
    <x v="0"/>
    <s v="Yes"/>
    <n v="20"/>
    <x v="10"/>
    <n v="58"/>
  </r>
  <r>
    <n v="3268"/>
    <x v="37"/>
    <x v="2"/>
    <d v="2024-04-03T00:00:00"/>
    <x v="0"/>
    <n v="10"/>
    <x v="1"/>
    <x v="1"/>
    <x v="1"/>
    <s v="Yes"/>
    <n v="20"/>
    <x v="2"/>
    <n v="20"/>
  </r>
  <r>
    <n v="3269"/>
    <x v="38"/>
    <x v="1"/>
    <d v="2024-04-04T00:00:00"/>
    <x v="1"/>
    <n v="5"/>
    <x v="2"/>
    <x v="1"/>
    <x v="1"/>
    <s v="No"/>
    <n v="0"/>
    <x v="4"/>
    <n v="4"/>
  </r>
  <r>
    <n v="3270"/>
    <x v="39"/>
    <x v="0"/>
    <d v="2024-04-05T00:00:00"/>
    <x v="0"/>
    <n v="15"/>
    <x v="0"/>
    <x v="0"/>
    <x v="0"/>
    <s v="Yes"/>
    <n v="20"/>
    <x v="6"/>
    <n v="50"/>
  </r>
  <r>
    <n v="3271"/>
    <x v="40"/>
    <x v="2"/>
    <d v="2024-04-06T00:00:00"/>
    <x v="1"/>
    <n v="10"/>
    <x v="0"/>
    <x v="1"/>
    <x v="1"/>
    <s v="Yes"/>
    <n v="20"/>
    <x v="0"/>
    <n v="25"/>
  </r>
  <r>
    <n v="3272"/>
    <x v="41"/>
    <x v="1"/>
    <d v="2024-04-07T00:00:00"/>
    <x v="0"/>
    <n v="5"/>
    <x v="1"/>
    <x v="1"/>
    <x v="1"/>
    <s v="No"/>
    <n v="0"/>
    <x v="1"/>
    <n v="5"/>
  </r>
  <r>
    <n v="3273"/>
    <x v="42"/>
    <x v="0"/>
    <d v="2024-04-08T00:00:00"/>
    <x v="1"/>
    <n v="15"/>
    <x v="2"/>
    <x v="0"/>
    <x v="0"/>
    <s v="Yes"/>
    <n v="20"/>
    <x v="7"/>
    <n v="45"/>
  </r>
  <r>
    <n v="3274"/>
    <x v="43"/>
    <x v="2"/>
    <d v="2024-04-09T00:00:00"/>
    <x v="0"/>
    <n v="10"/>
    <x v="2"/>
    <x v="1"/>
    <x v="1"/>
    <s v="Yes"/>
    <n v="20"/>
    <x v="9"/>
    <n v="18"/>
  </r>
  <r>
    <n v="3275"/>
    <x v="44"/>
    <x v="1"/>
    <d v="2024-04-10T00:00:00"/>
    <x v="1"/>
    <n v="5"/>
    <x v="0"/>
    <x v="1"/>
    <x v="1"/>
    <s v="No"/>
    <n v="0"/>
    <x v="5"/>
    <n v="3"/>
  </r>
  <r>
    <n v="3276"/>
    <x v="45"/>
    <x v="0"/>
    <d v="2024-04-11T00:00:00"/>
    <x v="0"/>
    <n v="15"/>
    <x v="1"/>
    <x v="0"/>
    <x v="0"/>
    <s v="Yes"/>
    <n v="20"/>
    <x v="0"/>
    <n v="60"/>
  </r>
  <r>
    <n v="3277"/>
    <x v="46"/>
    <x v="2"/>
    <d v="2024-04-12T00:00:00"/>
    <x v="1"/>
    <n v="10"/>
    <x v="0"/>
    <x v="1"/>
    <x v="1"/>
    <s v="Yes"/>
    <n v="20"/>
    <x v="2"/>
    <n v="20"/>
  </r>
  <r>
    <n v="3278"/>
    <x v="47"/>
    <x v="1"/>
    <d v="2024-04-13T00:00:00"/>
    <x v="0"/>
    <n v="5"/>
    <x v="2"/>
    <x v="1"/>
    <x v="1"/>
    <s v="No"/>
    <n v="0"/>
    <x v="1"/>
    <n v="5"/>
  </r>
  <r>
    <n v="3279"/>
    <x v="48"/>
    <x v="0"/>
    <d v="2024-04-14T00:00:00"/>
    <x v="1"/>
    <n v="15"/>
    <x v="0"/>
    <x v="0"/>
    <x v="0"/>
    <s v="Yes"/>
    <n v="20"/>
    <x v="3"/>
    <n v="62"/>
  </r>
  <r>
    <n v="3280"/>
    <x v="49"/>
    <x v="2"/>
    <d v="2024-04-15T00:00:00"/>
    <x v="0"/>
    <n v="10"/>
    <x v="1"/>
    <x v="1"/>
    <x v="1"/>
    <s v="Yes"/>
    <n v="20"/>
    <x v="6"/>
    <n v="15"/>
  </r>
  <r>
    <n v="3281"/>
    <x v="50"/>
    <x v="1"/>
    <d v="2024-04-16T00:00:00"/>
    <x v="1"/>
    <n v="5"/>
    <x v="0"/>
    <x v="1"/>
    <x v="1"/>
    <s v="No"/>
    <n v="0"/>
    <x v="4"/>
    <n v="4"/>
  </r>
  <r>
    <n v="3282"/>
    <x v="51"/>
    <x v="0"/>
    <d v="2024-04-17T00:00:00"/>
    <x v="0"/>
    <n v="15"/>
    <x v="2"/>
    <x v="0"/>
    <x v="0"/>
    <s v="Yes"/>
    <n v="20"/>
    <x v="10"/>
    <n v="58"/>
  </r>
  <r>
    <n v="3283"/>
    <x v="52"/>
    <x v="2"/>
    <d v="2024-04-18T00:00:00"/>
    <x v="1"/>
    <n v="10"/>
    <x v="0"/>
    <x v="1"/>
    <x v="1"/>
    <s v="Yes"/>
    <n v="20"/>
    <x v="2"/>
    <n v="20"/>
  </r>
  <r>
    <n v="3284"/>
    <x v="53"/>
    <x v="1"/>
    <d v="2024-04-19T00:00:00"/>
    <x v="0"/>
    <n v="5"/>
    <x v="1"/>
    <x v="1"/>
    <x v="1"/>
    <s v="No"/>
    <n v="0"/>
    <x v="1"/>
    <n v="5"/>
  </r>
  <r>
    <n v="3285"/>
    <x v="54"/>
    <x v="0"/>
    <d v="2024-04-20T00:00:00"/>
    <x v="1"/>
    <n v="15"/>
    <x v="0"/>
    <x v="0"/>
    <x v="0"/>
    <s v="Yes"/>
    <n v="20"/>
    <x v="7"/>
    <n v="45"/>
  </r>
  <r>
    <n v="3286"/>
    <x v="55"/>
    <x v="2"/>
    <d v="2024-04-21T00:00:00"/>
    <x v="0"/>
    <n v="10"/>
    <x v="2"/>
    <x v="1"/>
    <x v="1"/>
    <s v="Yes"/>
    <n v="20"/>
    <x v="6"/>
    <n v="15"/>
  </r>
  <r>
    <n v="3287"/>
    <x v="56"/>
    <x v="1"/>
    <d v="2024-04-22T00:00:00"/>
    <x v="1"/>
    <n v="5"/>
    <x v="0"/>
    <x v="1"/>
    <x v="1"/>
    <s v="No"/>
    <n v="0"/>
    <x v="4"/>
    <n v="4"/>
  </r>
  <r>
    <n v="3288"/>
    <x v="57"/>
    <x v="0"/>
    <d v="2024-04-23T00:00:00"/>
    <x v="0"/>
    <n v="15"/>
    <x v="1"/>
    <x v="0"/>
    <x v="0"/>
    <s v="Yes"/>
    <n v="20"/>
    <x v="3"/>
    <n v="62"/>
  </r>
  <r>
    <n v="3289"/>
    <x v="58"/>
    <x v="2"/>
    <d v="2024-04-24T00:00:00"/>
    <x v="1"/>
    <n v="10"/>
    <x v="0"/>
    <x v="1"/>
    <x v="1"/>
    <s v="Yes"/>
    <n v="20"/>
    <x v="2"/>
    <n v="20"/>
  </r>
  <r>
    <n v="3290"/>
    <x v="59"/>
    <x v="1"/>
    <d v="2024-04-25T00:00:00"/>
    <x v="0"/>
    <n v="5"/>
    <x v="2"/>
    <x v="1"/>
    <x v="1"/>
    <s v="No"/>
    <n v="0"/>
    <x v="1"/>
    <n v="5"/>
  </r>
  <r>
    <n v="3291"/>
    <x v="60"/>
    <x v="0"/>
    <d v="2024-04-26T00:00:00"/>
    <x v="1"/>
    <n v="15"/>
    <x v="0"/>
    <x v="0"/>
    <x v="0"/>
    <s v="Yes"/>
    <n v="20"/>
    <x v="0"/>
    <n v="60"/>
  </r>
  <r>
    <n v="3292"/>
    <x v="61"/>
    <x v="2"/>
    <d v="2024-04-27T00:00:00"/>
    <x v="0"/>
    <n v="10"/>
    <x v="1"/>
    <x v="1"/>
    <x v="1"/>
    <s v="Yes"/>
    <n v="20"/>
    <x v="6"/>
    <n v="15"/>
  </r>
  <r>
    <n v="3293"/>
    <x v="62"/>
    <x v="1"/>
    <d v="2024-04-28T00:00:00"/>
    <x v="1"/>
    <n v="5"/>
    <x v="0"/>
    <x v="1"/>
    <x v="1"/>
    <s v="No"/>
    <n v="0"/>
    <x v="4"/>
    <n v="4"/>
  </r>
  <r>
    <n v="3294"/>
    <x v="63"/>
    <x v="0"/>
    <d v="2024-04-29T00:00:00"/>
    <x v="0"/>
    <n v="15"/>
    <x v="2"/>
    <x v="0"/>
    <x v="0"/>
    <s v="Yes"/>
    <n v="20"/>
    <x v="7"/>
    <n v="45"/>
  </r>
  <r>
    <n v="3295"/>
    <x v="64"/>
    <x v="2"/>
    <d v="2024-04-30T00:00:00"/>
    <x v="1"/>
    <n v="10"/>
    <x v="0"/>
    <x v="1"/>
    <x v="1"/>
    <s v="Yes"/>
    <n v="20"/>
    <x v="0"/>
    <n v="25"/>
  </r>
  <r>
    <n v="3296"/>
    <x v="65"/>
    <x v="1"/>
    <d v="2024-05-01T00:00:00"/>
    <x v="1"/>
    <n v="5"/>
    <x v="0"/>
    <x v="1"/>
    <x v="1"/>
    <s v="No"/>
    <n v="0"/>
    <x v="1"/>
    <n v="5"/>
  </r>
  <r>
    <n v="3297"/>
    <x v="66"/>
    <x v="0"/>
    <d v="2024-05-02T00:00:00"/>
    <x v="0"/>
    <n v="15"/>
    <x v="2"/>
    <x v="0"/>
    <x v="0"/>
    <s v="Yes"/>
    <n v="20"/>
    <x v="10"/>
    <n v="58"/>
  </r>
  <r>
    <n v="3298"/>
    <x v="67"/>
    <x v="2"/>
    <d v="2024-05-03T00:00:00"/>
    <x v="1"/>
    <n v="10"/>
    <x v="1"/>
    <x v="1"/>
    <x v="1"/>
    <s v="Yes"/>
    <n v="20"/>
    <x v="2"/>
    <n v="20"/>
  </r>
  <r>
    <n v="3299"/>
    <x v="68"/>
    <x v="1"/>
    <d v="2024-05-04T00:00:00"/>
    <x v="0"/>
    <n v="5"/>
    <x v="2"/>
    <x v="1"/>
    <x v="1"/>
    <s v="No"/>
    <n v="0"/>
    <x v="4"/>
    <n v="4"/>
  </r>
  <r>
    <n v="3300"/>
    <x v="69"/>
    <x v="0"/>
    <d v="2024-05-05T00:00:00"/>
    <x v="1"/>
    <n v="15"/>
    <x v="0"/>
    <x v="0"/>
    <x v="0"/>
    <s v="Yes"/>
    <n v="20"/>
    <x v="6"/>
    <n v="50"/>
  </r>
  <r>
    <n v="3301"/>
    <x v="70"/>
    <x v="2"/>
    <d v="2024-05-06T00:00:00"/>
    <x v="0"/>
    <n v="10"/>
    <x v="0"/>
    <x v="1"/>
    <x v="1"/>
    <s v="Yes"/>
    <n v="20"/>
    <x v="0"/>
    <n v="25"/>
  </r>
  <r>
    <n v="3302"/>
    <x v="71"/>
    <x v="1"/>
    <d v="2024-05-07T00:00:00"/>
    <x v="1"/>
    <n v="5"/>
    <x v="1"/>
    <x v="1"/>
    <x v="1"/>
    <s v="No"/>
    <n v="0"/>
    <x v="1"/>
    <n v="5"/>
  </r>
  <r>
    <n v="3303"/>
    <x v="72"/>
    <x v="0"/>
    <d v="2024-05-08T00:00:00"/>
    <x v="0"/>
    <n v="15"/>
    <x v="2"/>
    <x v="0"/>
    <x v="0"/>
    <s v="Yes"/>
    <n v="20"/>
    <x v="7"/>
    <n v="45"/>
  </r>
  <r>
    <n v="3304"/>
    <x v="73"/>
    <x v="2"/>
    <d v="2024-05-09T00:00:00"/>
    <x v="1"/>
    <n v="10"/>
    <x v="2"/>
    <x v="1"/>
    <x v="1"/>
    <s v="Yes"/>
    <n v="20"/>
    <x v="9"/>
    <n v="18"/>
  </r>
  <r>
    <n v="3305"/>
    <x v="74"/>
    <x v="1"/>
    <d v="2024-05-10T00:00:00"/>
    <x v="0"/>
    <n v="5"/>
    <x v="0"/>
    <x v="1"/>
    <x v="1"/>
    <s v="No"/>
    <n v="0"/>
    <x v="5"/>
    <n v="3"/>
  </r>
  <r>
    <n v="3306"/>
    <x v="75"/>
    <x v="0"/>
    <d v="2024-05-11T00:00:00"/>
    <x v="1"/>
    <n v="15"/>
    <x v="1"/>
    <x v="0"/>
    <x v="0"/>
    <s v="Yes"/>
    <n v="20"/>
    <x v="0"/>
    <n v="60"/>
  </r>
  <r>
    <n v="3307"/>
    <x v="76"/>
    <x v="2"/>
    <d v="2024-05-12T00:00:00"/>
    <x v="0"/>
    <n v="10"/>
    <x v="0"/>
    <x v="1"/>
    <x v="1"/>
    <s v="Yes"/>
    <n v="20"/>
    <x v="2"/>
    <n v="20"/>
  </r>
  <r>
    <n v="3308"/>
    <x v="77"/>
    <x v="1"/>
    <d v="2024-05-13T00:00:00"/>
    <x v="1"/>
    <n v="5"/>
    <x v="2"/>
    <x v="1"/>
    <x v="1"/>
    <s v="No"/>
    <n v="0"/>
    <x v="1"/>
    <n v="5"/>
  </r>
  <r>
    <n v="3309"/>
    <x v="78"/>
    <x v="0"/>
    <d v="2024-05-14T00:00:00"/>
    <x v="0"/>
    <n v="15"/>
    <x v="0"/>
    <x v="0"/>
    <x v="0"/>
    <s v="Yes"/>
    <n v="20"/>
    <x v="3"/>
    <n v="62"/>
  </r>
  <r>
    <n v="3310"/>
    <x v="79"/>
    <x v="2"/>
    <d v="2024-05-15T00:00:00"/>
    <x v="1"/>
    <n v="10"/>
    <x v="1"/>
    <x v="1"/>
    <x v="1"/>
    <s v="Yes"/>
    <n v="20"/>
    <x v="6"/>
    <n v="15"/>
  </r>
  <r>
    <n v="3311"/>
    <x v="80"/>
    <x v="1"/>
    <d v="2024-05-16T00:00:00"/>
    <x v="0"/>
    <n v="5"/>
    <x v="0"/>
    <x v="1"/>
    <x v="1"/>
    <s v="No"/>
    <n v="0"/>
    <x v="4"/>
    <n v="4"/>
  </r>
  <r>
    <n v="3312"/>
    <x v="81"/>
    <x v="0"/>
    <d v="2024-05-17T00:00:00"/>
    <x v="1"/>
    <n v="15"/>
    <x v="2"/>
    <x v="0"/>
    <x v="0"/>
    <s v="Yes"/>
    <n v="20"/>
    <x v="10"/>
    <n v="58"/>
  </r>
  <r>
    <n v="3313"/>
    <x v="82"/>
    <x v="2"/>
    <d v="2024-05-18T00:00:00"/>
    <x v="0"/>
    <n v="10"/>
    <x v="0"/>
    <x v="1"/>
    <x v="1"/>
    <s v="Yes"/>
    <n v="20"/>
    <x v="2"/>
    <n v="20"/>
  </r>
  <r>
    <n v="3314"/>
    <x v="83"/>
    <x v="1"/>
    <d v="2024-05-19T00:00:00"/>
    <x v="1"/>
    <n v="5"/>
    <x v="1"/>
    <x v="1"/>
    <x v="1"/>
    <s v="No"/>
    <n v="0"/>
    <x v="1"/>
    <n v="5"/>
  </r>
  <r>
    <n v="3315"/>
    <x v="84"/>
    <x v="0"/>
    <d v="2024-05-20T00:00:00"/>
    <x v="0"/>
    <n v="15"/>
    <x v="0"/>
    <x v="0"/>
    <x v="0"/>
    <s v="Yes"/>
    <n v="20"/>
    <x v="7"/>
    <n v="45"/>
  </r>
  <r>
    <n v="3316"/>
    <x v="85"/>
    <x v="2"/>
    <d v="2024-05-21T00:00:00"/>
    <x v="1"/>
    <n v="10"/>
    <x v="2"/>
    <x v="1"/>
    <x v="1"/>
    <s v="Yes"/>
    <n v="20"/>
    <x v="6"/>
    <n v="15"/>
  </r>
  <r>
    <n v="3317"/>
    <x v="86"/>
    <x v="1"/>
    <d v="2024-05-22T00:00:00"/>
    <x v="0"/>
    <n v="5"/>
    <x v="0"/>
    <x v="1"/>
    <x v="1"/>
    <s v="No"/>
    <n v="0"/>
    <x v="4"/>
    <n v="4"/>
  </r>
  <r>
    <n v="3318"/>
    <x v="87"/>
    <x v="0"/>
    <d v="2024-05-23T00:00:00"/>
    <x v="1"/>
    <n v="15"/>
    <x v="1"/>
    <x v="0"/>
    <x v="0"/>
    <s v="Yes"/>
    <n v="20"/>
    <x v="3"/>
    <n v="62"/>
  </r>
  <r>
    <n v="3319"/>
    <x v="88"/>
    <x v="2"/>
    <d v="2024-05-24T00:00:00"/>
    <x v="0"/>
    <n v="10"/>
    <x v="0"/>
    <x v="1"/>
    <x v="1"/>
    <s v="Yes"/>
    <n v="20"/>
    <x v="2"/>
    <n v="20"/>
  </r>
  <r>
    <n v="3320"/>
    <x v="89"/>
    <x v="1"/>
    <d v="2024-05-25T00:00:00"/>
    <x v="1"/>
    <n v="5"/>
    <x v="2"/>
    <x v="1"/>
    <x v="1"/>
    <s v="No"/>
    <n v="0"/>
    <x v="1"/>
    <n v="5"/>
  </r>
  <r>
    <n v="3321"/>
    <x v="90"/>
    <x v="0"/>
    <d v="2024-05-26T00:00:00"/>
    <x v="0"/>
    <n v="15"/>
    <x v="0"/>
    <x v="0"/>
    <x v="0"/>
    <s v="Yes"/>
    <n v="20"/>
    <x v="0"/>
    <n v="60"/>
  </r>
  <r>
    <n v="3322"/>
    <x v="91"/>
    <x v="2"/>
    <d v="2024-05-27T00:00:00"/>
    <x v="1"/>
    <n v="10"/>
    <x v="1"/>
    <x v="1"/>
    <x v="1"/>
    <s v="Yes"/>
    <n v="20"/>
    <x v="6"/>
    <n v="15"/>
  </r>
  <r>
    <n v="3323"/>
    <x v="92"/>
    <x v="1"/>
    <d v="2024-05-28T00:00:00"/>
    <x v="0"/>
    <n v="5"/>
    <x v="0"/>
    <x v="1"/>
    <x v="1"/>
    <s v="No"/>
    <n v="0"/>
    <x v="4"/>
    <n v="4"/>
  </r>
  <r>
    <n v="3324"/>
    <x v="93"/>
    <x v="0"/>
    <d v="2024-05-29T00:00:00"/>
    <x v="1"/>
    <n v="15"/>
    <x v="2"/>
    <x v="0"/>
    <x v="0"/>
    <s v="Yes"/>
    <n v="20"/>
    <x v="7"/>
    <n v="45"/>
  </r>
  <r>
    <n v="3325"/>
    <x v="94"/>
    <x v="2"/>
    <d v="2024-05-30T00:00:00"/>
    <x v="0"/>
    <n v="10"/>
    <x v="2"/>
    <x v="1"/>
    <x v="1"/>
    <s v="Yes"/>
    <n v="20"/>
    <x v="6"/>
    <n v="15"/>
  </r>
  <r>
    <n v="3326"/>
    <x v="95"/>
    <x v="1"/>
    <d v="2024-05-31T00:00:00"/>
    <x v="1"/>
    <n v="5"/>
    <x v="1"/>
    <x v="1"/>
    <x v="1"/>
    <s v="No"/>
    <n v="0"/>
    <x v="1"/>
    <n v="5"/>
  </r>
  <r>
    <n v="3327"/>
    <x v="96"/>
    <x v="0"/>
    <d v="2024-06-01T00:00:00"/>
    <x v="0"/>
    <n v="15"/>
    <x v="0"/>
    <x v="0"/>
    <x v="0"/>
    <s v="Yes"/>
    <n v="20"/>
    <x v="10"/>
    <n v="58"/>
  </r>
  <r>
    <n v="3328"/>
    <x v="97"/>
    <x v="2"/>
    <d v="2024-06-02T00:00:00"/>
    <x v="1"/>
    <n v="10"/>
    <x v="1"/>
    <x v="1"/>
    <x v="1"/>
    <s v="Yes"/>
    <n v="20"/>
    <x v="2"/>
    <n v="20"/>
  </r>
  <r>
    <n v="3329"/>
    <x v="98"/>
    <x v="1"/>
    <d v="2024-06-03T00:00:00"/>
    <x v="0"/>
    <n v="5"/>
    <x v="2"/>
    <x v="1"/>
    <x v="1"/>
    <s v="No"/>
    <n v="0"/>
    <x v="4"/>
    <n v="4"/>
  </r>
  <r>
    <n v="3330"/>
    <x v="99"/>
    <x v="0"/>
    <d v="2024-06-04T00:00:00"/>
    <x v="1"/>
    <n v="15"/>
    <x v="0"/>
    <x v="0"/>
    <x v="0"/>
    <s v="Yes"/>
    <n v="20"/>
    <x v="6"/>
    <n v="50"/>
  </r>
  <r>
    <n v="3331"/>
    <x v="100"/>
    <x v="2"/>
    <d v="2024-06-05T00:00:00"/>
    <x v="0"/>
    <n v="10"/>
    <x v="0"/>
    <x v="1"/>
    <x v="1"/>
    <s v="Yes"/>
    <n v="20"/>
    <x v="0"/>
    <n v="25"/>
  </r>
  <r>
    <n v="3332"/>
    <x v="101"/>
    <x v="1"/>
    <d v="2024-06-06T00:00:00"/>
    <x v="1"/>
    <n v="5"/>
    <x v="1"/>
    <x v="1"/>
    <x v="1"/>
    <s v="No"/>
    <n v="0"/>
    <x v="1"/>
    <n v="5"/>
  </r>
  <r>
    <n v="3333"/>
    <x v="102"/>
    <x v="0"/>
    <d v="2024-06-07T00:00:00"/>
    <x v="0"/>
    <n v="15"/>
    <x v="2"/>
    <x v="0"/>
    <x v="0"/>
    <s v="Yes"/>
    <n v="20"/>
    <x v="7"/>
    <n v="45"/>
  </r>
  <r>
    <n v="3334"/>
    <x v="103"/>
    <x v="2"/>
    <d v="2024-06-08T00:00:00"/>
    <x v="1"/>
    <n v="10"/>
    <x v="2"/>
    <x v="1"/>
    <x v="1"/>
    <s v="Yes"/>
    <n v="20"/>
    <x v="9"/>
    <n v="18"/>
  </r>
  <r>
    <n v="3335"/>
    <x v="104"/>
    <x v="1"/>
    <d v="2024-06-09T00:00:00"/>
    <x v="0"/>
    <n v="5"/>
    <x v="0"/>
    <x v="1"/>
    <x v="1"/>
    <s v="No"/>
    <n v="0"/>
    <x v="5"/>
    <n v="3"/>
  </r>
  <r>
    <n v="3336"/>
    <x v="105"/>
    <x v="1"/>
    <d v="2024-06-10T00:00:00"/>
    <x v="0"/>
    <n v="5"/>
    <x v="0"/>
    <x v="1"/>
    <x v="1"/>
    <s v="No"/>
    <n v="0"/>
    <x v="1"/>
    <n v="5"/>
  </r>
  <r>
    <n v="3337"/>
    <x v="106"/>
    <x v="0"/>
    <d v="2024-06-11T00:00:00"/>
    <x v="1"/>
    <n v="15"/>
    <x v="2"/>
    <x v="0"/>
    <x v="0"/>
    <s v="Yes"/>
    <n v="20"/>
    <x v="10"/>
    <n v="58"/>
  </r>
  <r>
    <n v="3338"/>
    <x v="107"/>
    <x v="2"/>
    <d v="2024-06-12T00:00:00"/>
    <x v="0"/>
    <n v="10"/>
    <x v="1"/>
    <x v="1"/>
    <x v="1"/>
    <s v="Yes"/>
    <n v="20"/>
    <x v="2"/>
    <n v="20"/>
  </r>
  <r>
    <n v="3339"/>
    <x v="108"/>
    <x v="1"/>
    <d v="2024-06-13T00:00:00"/>
    <x v="1"/>
    <n v="5"/>
    <x v="2"/>
    <x v="1"/>
    <x v="1"/>
    <s v="No"/>
    <n v="0"/>
    <x v="4"/>
    <n v="4"/>
  </r>
  <r>
    <n v="3340"/>
    <x v="109"/>
    <x v="0"/>
    <d v="2024-06-14T00:00:00"/>
    <x v="0"/>
    <n v="15"/>
    <x v="0"/>
    <x v="0"/>
    <x v="0"/>
    <s v="Yes"/>
    <n v="20"/>
    <x v="6"/>
    <n v="50"/>
  </r>
  <r>
    <n v="3341"/>
    <x v="110"/>
    <x v="2"/>
    <d v="2024-06-15T00:00:00"/>
    <x v="1"/>
    <n v="10"/>
    <x v="0"/>
    <x v="1"/>
    <x v="1"/>
    <s v="Yes"/>
    <n v="20"/>
    <x v="0"/>
    <n v="25"/>
  </r>
  <r>
    <n v="3342"/>
    <x v="111"/>
    <x v="1"/>
    <d v="2024-06-16T00:00:00"/>
    <x v="0"/>
    <n v="5"/>
    <x v="1"/>
    <x v="1"/>
    <x v="1"/>
    <s v="No"/>
    <n v="0"/>
    <x v="1"/>
    <n v="5"/>
  </r>
  <r>
    <n v="3343"/>
    <x v="112"/>
    <x v="0"/>
    <d v="2024-06-17T00:00:00"/>
    <x v="1"/>
    <n v="15"/>
    <x v="2"/>
    <x v="0"/>
    <x v="0"/>
    <s v="Yes"/>
    <n v="20"/>
    <x v="7"/>
    <n v="45"/>
  </r>
  <r>
    <n v="3344"/>
    <x v="113"/>
    <x v="2"/>
    <d v="2024-06-18T00:00:00"/>
    <x v="0"/>
    <n v="10"/>
    <x v="2"/>
    <x v="1"/>
    <x v="1"/>
    <s v="Yes"/>
    <n v="20"/>
    <x v="9"/>
    <n v="18"/>
  </r>
  <r>
    <n v="3345"/>
    <x v="114"/>
    <x v="1"/>
    <d v="2024-06-19T00:00:00"/>
    <x v="1"/>
    <n v="5"/>
    <x v="0"/>
    <x v="1"/>
    <x v="1"/>
    <s v="No"/>
    <n v="0"/>
    <x v="5"/>
    <n v="3"/>
  </r>
  <r>
    <n v="3346"/>
    <x v="115"/>
    <x v="0"/>
    <d v="2024-06-20T00:00:00"/>
    <x v="0"/>
    <n v="15"/>
    <x v="1"/>
    <x v="0"/>
    <x v="0"/>
    <s v="Yes"/>
    <n v="20"/>
    <x v="0"/>
    <n v="60"/>
  </r>
  <r>
    <n v="3347"/>
    <x v="116"/>
    <x v="2"/>
    <d v="2024-06-21T00:00:00"/>
    <x v="1"/>
    <n v="10"/>
    <x v="0"/>
    <x v="1"/>
    <x v="1"/>
    <s v="Yes"/>
    <n v="20"/>
    <x v="2"/>
    <n v="20"/>
  </r>
  <r>
    <n v="3348"/>
    <x v="117"/>
    <x v="1"/>
    <d v="2024-06-22T00:00:00"/>
    <x v="0"/>
    <n v="5"/>
    <x v="2"/>
    <x v="1"/>
    <x v="1"/>
    <s v="No"/>
    <n v="0"/>
    <x v="1"/>
    <n v="5"/>
  </r>
  <r>
    <n v="3349"/>
    <x v="93"/>
    <x v="0"/>
    <d v="2024-06-23T00:00:00"/>
    <x v="1"/>
    <n v="15"/>
    <x v="0"/>
    <x v="0"/>
    <x v="0"/>
    <s v="Yes"/>
    <n v="20"/>
    <x v="3"/>
    <n v="62"/>
  </r>
  <r>
    <n v="3350"/>
    <x v="118"/>
    <x v="2"/>
    <d v="2024-06-24T00:00:00"/>
    <x v="0"/>
    <n v="10"/>
    <x v="1"/>
    <x v="1"/>
    <x v="1"/>
    <s v="Yes"/>
    <n v="20"/>
    <x v="6"/>
    <n v="15"/>
  </r>
  <r>
    <n v="3351"/>
    <x v="119"/>
    <x v="1"/>
    <d v="2024-06-25T00:00:00"/>
    <x v="1"/>
    <n v="5"/>
    <x v="0"/>
    <x v="1"/>
    <x v="1"/>
    <s v="No"/>
    <n v="0"/>
    <x v="4"/>
    <n v="4"/>
  </r>
  <r>
    <n v="3352"/>
    <x v="120"/>
    <x v="0"/>
    <d v="2024-06-26T00:00:00"/>
    <x v="0"/>
    <n v="15"/>
    <x v="2"/>
    <x v="0"/>
    <x v="0"/>
    <s v="Yes"/>
    <n v="20"/>
    <x v="10"/>
    <n v="58"/>
  </r>
  <r>
    <n v="3353"/>
    <x v="121"/>
    <x v="2"/>
    <d v="2024-06-27T00:00:00"/>
    <x v="1"/>
    <n v="10"/>
    <x v="0"/>
    <x v="1"/>
    <x v="1"/>
    <s v="Yes"/>
    <n v="20"/>
    <x v="2"/>
    <n v="20"/>
  </r>
  <r>
    <n v="3354"/>
    <x v="122"/>
    <x v="1"/>
    <d v="2024-06-28T00:00:00"/>
    <x v="0"/>
    <n v="5"/>
    <x v="1"/>
    <x v="1"/>
    <x v="1"/>
    <s v="No"/>
    <n v="0"/>
    <x v="1"/>
    <n v="5"/>
  </r>
  <r>
    <n v="3355"/>
    <x v="123"/>
    <x v="0"/>
    <d v="2024-06-29T00:00:00"/>
    <x v="1"/>
    <n v="15"/>
    <x v="0"/>
    <x v="0"/>
    <x v="0"/>
    <s v="Yes"/>
    <n v="20"/>
    <x v="7"/>
    <n v="45"/>
  </r>
  <r>
    <n v="3356"/>
    <x v="124"/>
    <x v="2"/>
    <d v="2024-06-30T00:00:00"/>
    <x v="0"/>
    <n v="10"/>
    <x v="2"/>
    <x v="1"/>
    <x v="1"/>
    <s v="Yes"/>
    <n v="20"/>
    <x v="6"/>
    <n v="15"/>
  </r>
  <r>
    <n v="3357"/>
    <x v="125"/>
    <x v="1"/>
    <d v="2024-07-01T00:00:00"/>
    <x v="1"/>
    <n v="5"/>
    <x v="0"/>
    <x v="1"/>
    <x v="1"/>
    <s v="No"/>
    <n v="0"/>
    <x v="4"/>
    <n v="4"/>
  </r>
  <r>
    <n v="3358"/>
    <x v="126"/>
    <x v="0"/>
    <d v="2024-07-02T00:00:00"/>
    <x v="0"/>
    <n v="15"/>
    <x v="1"/>
    <x v="0"/>
    <x v="0"/>
    <s v="Yes"/>
    <n v="20"/>
    <x v="3"/>
    <n v="62"/>
  </r>
  <r>
    <n v="3359"/>
    <x v="127"/>
    <x v="2"/>
    <d v="2024-07-03T00:00:00"/>
    <x v="1"/>
    <n v="10"/>
    <x v="0"/>
    <x v="1"/>
    <x v="1"/>
    <s v="Yes"/>
    <n v="20"/>
    <x v="2"/>
    <n v="20"/>
  </r>
  <r>
    <n v="3360"/>
    <x v="128"/>
    <x v="1"/>
    <d v="2024-07-04T00:00:00"/>
    <x v="0"/>
    <n v="5"/>
    <x v="2"/>
    <x v="1"/>
    <x v="1"/>
    <s v="No"/>
    <n v="0"/>
    <x v="1"/>
    <n v="5"/>
  </r>
  <r>
    <n v="3361"/>
    <x v="129"/>
    <x v="0"/>
    <d v="2024-07-05T00:00:00"/>
    <x v="1"/>
    <n v="15"/>
    <x v="0"/>
    <x v="0"/>
    <x v="0"/>
    <s v="Yes"/>
    <n v="20"/>
    <x v="6"/>
    <n v="50"/>
  </r>
  <r>
    <n v="3362"/>
    <x v="130"/>
    <x v="2"/>
    <d v="2024-07-06T00:00:00"/>
    <x v="0"/>
    <n v="10"/>
    <x v="1"/>
    <x v="1"/>
    <x v="1"/>
    <s v="Yes"/>
    <n v="20"/>
    <x v="6"/>
    <n v="15"/>
  </r>
  <r>
    <n v="3363"/>
    <x v="131"/>
    <x v="1"/>
    <d v="2024-07-07T00:00:00"/>
    <x v="1"/>
    <n v="5"/>
    <x v="0"/>
    <x v="1"/>
    <x v="1"/>
    <s v="No"/>
    <n v="0"/>
    <x v="4"/>
    <n v="4"/>
  </r>
  <r>
    <n v="3364"/>
    <x v="132"/>
    <x v="0"/>
    <d v="2024-07-08T00:00:00"/>
    <x v="0"/>
    <n v="15"/>
    <x v="2"/>
    <x v="0"/>
    <x v="0"/>
    <s v="Yes"/>
    <n v="20"/>
    <x v="10"/>
    <n v="58"/>
  </r>
  <r>
    <n v="3365"/>
    <x v="133"/>
    <x v="2"/>
    <d v="2024-07-09T00:00:00"/>
    <x v="1"/>
    <n v="10"/>
    <x v="0"/>
    <x v="1"/>
    <x v="1"/>
    <s v="Yes"/>
    <n v="20"/>
    <x v="2"/>
    <n v="20"/>
  </r>
  <r>
    <n v="3366"/>
    <x v="134"/>
    <x v="1"/>
    <d v="2024-07-10T00:00:00"/>
    <x v="0"/>
    <n v="5"/>
    <x v="0"/>
    <x v="1"/>
    <x v="1"/>
    <s v="No"/>
    <n v="0"/>
    <x v="1"/>
    <n v="5"/>
  </r>
  <r>
    <n v="3367"/>
    <x v="135"/>
    <x v="0"/>
    <d v="2024-07-11T00:00:00"/>
    <x v="1"/>
    <n v="15"/>
    <x v="2"/>
    <x v="0"/>
    <x v="0"/>
    <s v="Yes"/>
    <n v="20"/>
    <x v="10"/>
    <n v="58"/>
  </r>
  <r>
    <n v="3368"/>
    <x v="136"/>
    <x v="2"/>
    <d v="2024-07-12T00:00:00"/>
    <x v="0"/>
    <n v="10"/>
    <x v="1"/>
    <x v="1"/>
    <x v="1"/>
    <s v="Yes"/>
    <n v="20"/>
    <x v="2"/>
    <n v="20"/>
  </r>
  <r>
    <n v="3369"/>
    <x v="137"/>
    <x v="1"/>
    <d v="2024-07-13T00:00:00"/>
    <x v="1"/>
    <n v="5"/>
    <x v="2"/>
    <x v="1"/>
    <x v="1"/>
    <s v="No"/>
    <n v="0"/>
    <x v="4"/>
    <n v="4"/>
  </r>
  <r>
    <n v="3370"/>
    <x v="138"/>
    <x v="0"/>
    <d v="2024-07-14T00:00:00"/>
    <x v="0"/>
    <n v="15"/>
    <x v="0"/>
    <x v="0"/>
    <x v="0"/>
    <s v="Yes"/>
    <n v="20"/>
    <x v="6"/>
    <n v="50"/>
  </r>
  <r>
    <n v="3371"/>
    <x v="139"/>
    <x v="2"/>
    <d v="2024-07-15T00:00:00"/>
    <x v="1"/>
    <n v="10"/>
    <x v="0"/>
    <x v="1"/>
    <x v="1"/>
    <s v="Yes"/>
    <n v="20"/>
    <x v="0"/>
    <n v="25"/>
  </r>
  <r>
    <n v="3372"/>
    <x v="140"/>
    <x v="1"/>
    <d v="2024-07-16T00:00:00"/>
    <x v="0"/>
    <n v="5"/>
    <x v="1"/>
    <x v="1"/>
    <x v="1"/>
    <s v="No"/>
    <n v="0"/>
    <x v="1"/>
    <n v="5"/>
  </r>
  <r>
    <n v="3373"/>
    <x v="141"/>
    <x v="0"/>
    <d v="2024-07-17T00:00:00"/>
    <x v="1"/>
    <n v="15"/>
    <x v="2"/>
    <x v="0"/>
    <x v="0"/>
    <s v="Yes"/>
    <n v="20"/>
    <x v="7"/>
    <n v="45"/>
  </r>
  <r>
    <n v="3374"/>
    <x v="142"/>
    <x v="2"/>
    <d v="2024-07-18T00:00:00"/>
    <x v="0"/>
    <n v="10"/>
    <x v="2"/>
    <x v="1"/>
    <x v="1"/>
    <s v="Yes"/>
    <n v="20"/>
    <x v="9"/>
    <n v="18"/>
  </r>
  <r>
    <n v="3375"/>
    <x v="143"/>
    <x v="1"/>
    <d v="2024-07-19T00:00:00"/>
    <x v="1"/>
    <n v="5"/>
    <x v="0"/>
    <x v="1"/>
    <x v="1"/>
    <s v="No"/>
    <n v="0"/>
    <x v="5"/>
    <n v="3"/>
  </r>
  <r>
    <n v="3376"/>
    <x v="144"/>
    <x v="0"/>
    <d v="2024-07-20T00:00:00"/>
    <x v="0"/>
    <n v="15"/>
    <x v="1"/>
    <x v="0"/>
    <x v="0"/>
    <s v="Yes"/>
    <n v="20"/>
    <x v="0"/>
    <n v="60"/>
  </r>
  <r>
    <n v="3377"/>
    <x v="145"/>
    <x v="2"/>
    <d v="2024-07-21T00:00:00"/>
    <x v="1"/>
    <n v="10"/>
    <x v="0"/>
    <x v="1"/>
    <x v="1"/>
    <s v="Yes"/>
    <n v="20"/>
    <x v="2"/>
    <n v="20"/>
  </r>
  <r>
    <n v="3378"/>
    <x v="146"/>
    <x v="1"/>
    <d v="2024-07-22T00:00:00"/>
    <x v="0"/>
    <n v="5"/>
    <x v="2"/>
    <x v="1"/>
    <x v="1"/>
    <s v="No"/>
    <n v="0"/>
    <x v="1"/>
    <n v="5"/>
  </r>
  <r>
    <n v="3379"/>
    <x v="147"/>
    <x v="0"/>
    <d v="2024-07-23T00:00:00"/>
    <x v="1"/>
    <n v="15"/>
    <x v="0"/>
    <x v="0"/>
    <x v="0"/>
    <s v="Yes"/>
    <n v="20"/>
    <x v="3"/>
    <n v="62"/>
  </r>
  <r>
    <n v="3380"/>
    <x v="148"/>
    <x v="2"/>
    <d v="2024-07-24T00:00:00"/>
    <x v="0"/>
    <n v="10"/>
    <x v="1"/>
    <x v="1"/>
    <x v="1"/>
    <s v="Yes"/>
    <n v="20"/>
    <x v="6"/>
    <n v="15"/>
  </r>
  <r>
    <n v="3381"/>
    <x v="149"/>
    <x v="1"/>
    <d v="2024-07-25T00:00:00"/>
    <x v="1"/>
    <n v="5"/>
    <x v="0"/>
    <x v="1"/>
    <x v="1"/>
    <s v="No"/>
    <n v="0"/>
    <x v="4"/>
    <n v="4"/>
  </r>
  <r>
    <n v="3382"/>
    <x v="150"/>
    <x v="0"/>
    <d v="2024-07-26T00:00:00"/>
    <x v="0"/>
    <n v="15"/>
    <x v="2"/>
    <x v="0"/>
    <x v="0"/>
    <s v="Yes"/>
    <n v="20"/>
    <x v="10"/>
    <n v="58"/>
  </r>
  <r>
    <n v="3383"/>
    <x v="151"/>
    <x v="2"/>
    <d v="2024-07-27T00:00:00"/>
    <x v="1"/>
    <n v="10"/>
    <x v="0"/>
    <x v="1"/>
    <x v="1"/>
    <s v="Yes"/>
    <n v="20"/>
    <x v="2"/>
    <n v="20"/>
  </r>
  <r>
    <n v="3384"/>
    <x v="152"/>
    <x v="1"/>
    <d v="2024-07-28T00:00:00"/>
    <x v="0"/>
    <n v="5"/>
    <x v="1"/>
    <x v="1"/>
    <x v="1"/>
    <s v="No"/>
    <n v="0"/>
    <x v="1"/>
    <n v="5"/>
  </r>
  <r>
    <n v="3385"/>
    <x v="153"/>
    <x v="0"/>
    <d v="2024-07-29T00:00:00"/>
    <x v="1"/>
    <n v="15"/>
    <x v="0"/>
    <x v="0"/>
    <x v="0"/>
    <s v="Yes"/>
    <n v="20"/>
    <x v="7"/>
    <n v="45"/>
  </r>
  <r>
    <n v="3386"/>
    <x v="154"/>
    <x v="2"/>
    <d v="2024-07-30T00:00:00"/>
    <x v="0"/>
    <n v="10"/>
    <x v="2"/>
    <x v="1"/>
    <x v="1"/>
    <s v="Yes"/>
    <n v="20"/>
    <x v="6"/>
    <n v="15"/>
  </r>
  <r>
    <n v="3387"/>
    <x v="155"/>
    <x v="1"/>
    <d v="2024-07-31T00:00:00"/>
    <x v="1"/>
    <n v="5"/>
    <x v="0"/>
    <x v="1"/>
    <x v="1"/>
    <s v="No"/>
    <n v="0"/>
    <x v="4"/>
    <n v="4"/>
  </r>
  <r>
    <n v="3388"/>
    <x v="156"/>
    <x v="0"/>
    <d v="2024-08-01T00:00:00"/>
    <x v="0"/>
    <n v="15"/>
    <x v="1"/>
    <x v="0"/>
    <x v="0"/>
    <s v="Yes"/>
    <n v="20"/>
    <x v="3"/>
    <n v="62"/>
  </r>
  <r>
    <n v="3389"/>
    <x v="157"/>
    <x v="2"/>
    <d v="2024-08-02T00:00:00"/>
    <x v="1"/>
    <n v="10"/>
    <x v="0"/>
    <x v="1"/>
    <x v="1"/>
    <s v="Yes"/>
    <n v="20"/>
    <x v="2"/>
    <n v="20"/>
  </r>
  <r>
    <n v="3390"/>
    <x v="158"/>
    <x v="1"/>
    <d v="2024-08-03T00:00:00"/>
    <x v="0"/>
    <n v="5"/>
    <x v="2"/>
    <x v="1"/>
    <x v="1"/>
    <s v="No"/>
    <n v="0"/>
    <x v="1"/>
    <n v="5"/>
  </r>
  <r>
    <n v="3391"/>
    <x v="58"/>
    <x v="0"/>
    <d v="2024-08-04T00:00:00"/>
    <x v="1"/>
    <n v="15"/>
    <x v="0"/>
    <x v="0"/>
    <x v="0"/>
    <s v="Yes"/>
    <n v="20"/>
    <x v="6"/>
    <n v="50"/>
  </r>
  <r>
    <n v="3392"/>
    <x v="159"/>
    <x v="2"/>
    <d v="2024-08-05T00:00:00"/>
    <x v="0"/>
    <n v="10"/>
    <x v="1"/>
    <x v="1"/>
    <x v="1"/>
    <s v="Yes"/>
    <n v="20"/>
    <x v="6"/>
    <n v="15"/>
  </r>
  <r>
    <n v="3393"/>
    <x v="160"/>
    <x v="1"/>
    <d v="2024-08-06T00:00:00"/>
    <x v="1"/>
    <n v="5"/>
    <x v="0"/>
    <x v="1"/>
    <x v="1"/>
    <s v="No"/>
    <n v="0"/>
    <x v="4"/>
    <n v="4"/>
  </r>
  <r>
    <n v="3394"/>
    <x v="161"/>
    <x v="0"/>
    <d v="2024-08-07T00:00:00"/>
    <x v="0"/>
    <n v="15"/>
    <x v="2"/>
    <x v="0"/>
    <x v="0"/>
    <s v="Yes"/>
    <n v="20"/>
    <x v="10"/>
    <n v="58"/>
  </r>
  <r>
    <n v="3395"/>
    <x v="162"/>
    <x v="2"/>
    <d v="2024-08-08T00:00:00"/>
    <x v="1"/>
    <n v="10"/>
    <x v="0"/>
    <x v="1"/>
    <x v="1"/>
    <s v="Yes"/>
    <n v="20"/>
    <x v="2"/>
    <n v="20"/>
  </r>
  <r>
    <n v="3396"/>
    <x v="163"/>
    <x v="1"/>
    <d v="2024-08-09T00:00:00"/>
    <x v="0"/>
    <n v="5"/>
    <x v="1"/>
    <x v="1"/>
    <x v="1"/>
    <s v="No"/>
    <n v="0"/>
    <x v="1"/>
    <n v="5"/>
  </r>
  <r>
    <n v="3397"/>
    <x v="90"/>
    <x v="0"/>
    <d v="2024-08-10T00:00:00"/>
    <x v="1"/>
    <n v="15"/>
    <x v="0"/>
    <x v="0"/>
    <x v="0"/>
    <s v="Yes"/>
    <n v="20"/>
    <x v="7"/>
    <n v="45"/>
  </r>
  <r>
    <n v="3398"/>
    <x v="164"/>
    <x v="2"/>
    <d v="2024-08-11T00:00:00"/>
    <x v="0"/>
    <n v="10"/>
    <x v="2"/>
    <x v="1"/>
    <x v="1"/>
    <s v="Yes"/>
    <n v="20"/>
    <x v="6"/>
    <n v="15"/>
  </r>
  <r>
    <n v="3399"/>
    <x v="165"/>
    <x v="1"/>
    <d v="2024-08-12T00:00:00"/>
    <x v="1"/>
    <n v="5"/>
    <x v="0"/>
    <x v="1"/>
    <x v="1"/>
    <s v="No"/>
    <n v="0"/>
    <x v="4"/>
    <n v="4"/>
  </r>
  <r>
    <n v="3400"/>
    <x v="166"/>
    <x v="0"/>
    <d v="2024-08-13T00:00:00"/>
    <x v="0"/>
    <n v="15"/>
    <x v="1"/>
    <x v="0"/>
    <x v="0"/>
    <s v="Yes"/>
    <n v="20"/>
    <x v="0"/>
    <n v="60"/>
  </r>
  <r>
    <n v="3401"/>
    <x v="167"/>
    <x v="2"/>
    <d v="2024-08-14T00:00:00"/>
    <x v="1"/>
    <n v="10"/>
    <x v="0"/>
    <x v="1"/>
    <x v="1"/>
    <s v="Yes"/>
    <n v="20"/>
    <x v="2"/>
    <n v="20"/>
  </r>
  <r>
    <n v="3402"/>
    <x v="168"/>
    <x v="1"/>
    <d v="2024-08-15T00:00:00"/>
    <x v="0"/>
    <n v="5"/>
    <x v="2"/>
    <x v="1"/>
    <x v="1"/>
    <s v="No"/>
    <n v="0"/>
    <x v="1"/>
    <n v="5"/>
  </r>
  <r>
    <n v="3403"/>
    <x v="169"/>
    <x v="0"/>
    <d v="2024-08-16T00:00:00"/>
    <x v="1"/>
    <n v="15"/>
    <x v="0"/>
    <x v="0"/>
    <x v="0"/>
    <s v="Yes"/>
    <n v="20"/>
    <x v="3"/>
    <n v="62"/>
  </r>
  <r>
    <n v="3404"/>
    <x v="170"/>
    <x v="2"/>
    <d v="2024-08-17T00:00:00"/>
    <x v="0"/>
    <n v="10"/>
    <x v="1"/>
    <x v="1"/>
    <x v="1"/>
    <s v="Yes"/>
    <n v="20"/>
    <x v="6"/>
    <n v="15"/>
  </r>
  <r>
    <n v="3405"/>
    <x v="171"/>
    <x v="1"/>
    <d v="2024-08-18T00:00:00"/>
    <x v="1"/>
    <n v="5"/>
    <x v="0"/>
    <x v="1"/>
    <x v="1"/>
    <s v="No"/>
    <n v="0"/>
    <x v="4"/>
    <n v="4"/>
  </r>
  <r>
    <n v="3406"/>
    <x v="172"/>
    <x v="1"/>
    <d v="2024-08-19T00:00:00"/>
    <x v="0"/>
    <n v="5"/>
    <x v="0"/>
    <x v="1"/>
    <x v="1"/>
    <s v="No"/>
    <n v="0"/>
    <x v="1"/>
    <n v="5"/>
  </r>
  <r>
    <n v="3407"/>
    <x v="173"/>
    <x v="0"/>
    <d v="2024-08-20T00:00:00"/>
    <x v="1"/>
    <n v="15"/>
    <x v="2"/>
    <x v="0"/>
    <x v="0"/>
    <s v="Yes"/>
    <n v="20"/>
    <x v="10"/>
    <n v="58"/>
  </r>
  <r>
    <n v="3408"/>
    <x v="174"/>
    <x v="2"/>
    <d v="2024-08-21T00:00:00"/>
    <x v="0"/>
    <n v="10"/>
    <x v="1"/>
    <x v="1"/>
    <x v="1"/>
    <s v="Yes"/>
    <n v="20"/>
    <x v="2"/>
    <n v="20"/>
  </r>
  <r>
    <n v="3409"/>
    <x v="175"/>
    <x v="1"/>
    <d v="2024-08-22T00:00:00"/>
    <x v="1"/>
    <n v="5"/>
    <x v="2"/>
    <x v="1"/>
    <x v="1"/>
    <s v="No"/>
    <n v="0"/>
    <x v="4"/>
    <n v="4"/>
  </r>
  <r>
    <n v="3410"/>
    <x v="176"/>
    <x v="0"/>
    <d v="2024-08-23T00:00:00"/>
    <x v="0"/>
    <n v="15"/>
    <x v="0"/>
    <x v="0"/>
    <x v="0"/>
    <s v="Yes"/>
    <n v="20"/>
    <x v="6"/>
    <n v="50"/>
  </r>
  <r>
    <n v="3411"/>
    <x v="177"/>
    <x v="2"/>
    <d v="2024-08-24T00:00:00"/>
    <x v="1"/>
    <n v="10"/>
    <x v="0"/>
    <x v="1"/>
    <x v="1"/>
    <s v="Yes"/>
    <n v="20"/>
    <x v="0"/>
    <n v="25"/>
  </r>
  <r>
    <n v="3412"/>
    <x v="178"/>
    <x v="1"/>
    <d v="2024-08-25T00:00:00"/>
    <x v="0"/>
    <n v="5"/>
    <x v="1"/>
    <x v="1"/>
    <x v="1"/>
    <s v="No"/>
    <n v="0"/>
    <x v="1"/>
    <n v="5"/>
  </r>
  <r>
    <n v="3413"/>
    <x v="179"/>
    <x v="0"/>
    <d v="2024-08-26T00:00:00"/>
    <x v="1"/>
    <n v="15"/>
    <x v="2"/>
    <x v="0"/>
    <x v="0"/>
    <s v="Yes"/>
    <n v="20"/>
    <x v="7"/>
    <n v="45"/>
  </r>
  <r>
    <n v="3414"/>
    <x v="180"/>
    <x v="2"/>
    <d v="2024-08-27T00:00:00"/>
    <x v="0"/>
    <n v="10"/>
    <x v="2"/>
    <x v="1"/>
    <x v="1"/>
    <s v="Yes"/>
    <n v="20"/>
    <x v="9"/>
    <n v="18"/>
  </r>
  <r>
    <n v="3415"/>
    <x v="181"/>
    <x v="1"/>
    <d v="2024-08-28T00:00:00"/>
    <x v="1"/>
    <n v="5"/>
    <x v="0"/>
    <x v="1"/>
    <x v="1"/>
    <s v="No"/>
    <n v="0"/>
    <x v="5"/>
    <n v="3"/>
  </r>
  <r>
    <n v="3416"/>
    <x v="182"/>
    <x v="0"/>
    <d v="2024-08-29T00:00:00"/>
    <x v="0"/>
    <n v="15"/>
    <x v="1"/>
    <x v="0"/>
    <x v="0"/>
    <s v="Yes"/>
    <n v="20"/>
    <x v="0"/>
    <n v="60"/>
  </r>
  <r>
    <n v="3417"/>
    <x v="183"/>
    <x v="2"/>
    <d v="2024-08-30T00:00:00"/>
    <x v="1"/>
    <n v="10"/>
    <x v="0"/>
    <x v="1"/>
    <x v="1"/>
    <s v="Yes"/>
    <n v="20"/>
    <x v="2"/>
    <n v="20"/>
  </r>
  <r>
    <n v="3418"/>
    <x v="184"/>
    <x v="1"/>
    <d v="2024-08-31T00:00:00"/>
    <x v="0"/>
    <n v="5"/>
    <x v="2"/>
    <x v="1"/>
    <x v="1"/>
    <s v="No"/>
    <n v="0"/>
    <x v="1"/>
    <n v="5"/>
  </r>
  <r>
    <n v="3419"/>
    <x v="185"/>
    <x v="0"/>
    <d v="2024-09-01T00:00:00"/>
    <x v="1"/>
    <n v="15"/>
    <x v="0"/>
    <x v="0"/>
    <x v="0"/>
    <s v="Yes"/>
    <n v="20"/>
    <x v="3"/>
    <n v="62"/>
  </r>
  <r>
    <n v="3420"/>
    <x v="186"/>
    <x v="2"/>
    <d v="2024-09-02T00:00:00"/>
    <x v="0"/>
    <n v="10"/>
    <x v="1"/>
    <x v="1"/>
    <x v="1"/>
    <s v="Yes"/>
    <n v="20"/>
    <x v="6"/>
    <n v="15"/>
  </r>
  <r>
    <n v="3421"/>
    <x v="15"/>
    <x v="1"/>
    <d v="2024-09-03T00:00:00"/>
    <x v="1"/>
    <n v="5"/>
    <x v="0"/>
    <x v="1"/>
    <x v="1"/>
    <s v="No"/>
    <n v="0"/>
    <x v="4"/>
    <n v="4"/>
  </r>
  <r>
    <n v="3422"/>
    <x v="187"/>
    <x v="0"/>
    <d v="2024-09-04T00:00:00"/>
    <x v="0"/>
    <n v="15"/>
    <x v="2"/>
    <x v="0"/>
    <x v="0"/>
    <s v="Yes"/>
    <n v="20"/>
    <x v="10"/>
    <n v="58"/>
  </r>
  <r>
    <n v="3423"/>
    <x v="188"/>
    <x v="2"/>
    <d v="2024-09-05T00:00:00"/>
    <x v="1"/>
    <n v="10"/>
    <x v="0"/>
    <x v="1"/>
    <x v="1"/>
    <s v="Yes"/>
    <n v="20"/>
    <x v="2"/>
    <n v="20"/>
  </r>
  <r>
    <n v="3424"/>
    <x v="14"/>
    <x v="1"/>
    <d v="2024-09-06T00:00:00"/>
    <x v="0"/>
    <n v="5"/>
    <x v="1"/>
    <x v="1"/>
    <x v="1"/>
    <s v="No"/>
    <n v="0"/>
    <x v="1"/>
    <n v="5"/>
  </r>
  <r>
    <n v="3425"/>
    <x v="189"/>
    <x v="0"/>
    <d v="2024-09-07T00:00:00"/>
    <x v="1"/>
    <n v="15"/>
    <x v="0"/>
    <x v="0"/>
    <x v="0"/>
    <s v="Yes"/>
    <n v="20"/>
    <x v="7"/>
    <n v="45"/>
  </r>
  <r>
    <n v="3426"/>
    <x v="167"/>
    <x v="2"/>
    <d v="2024-09-08T00:00:00"/>
    <x v="0"/>
    <n v="10"/>
    <x v="2"/>
    <x v="1"/>
    <x v="1"/>
    <s v="Yes"/>
    <n v="20"/>
    <x v="6"/>
    <n v="15"/>
  </r>
  <r>
    <n v="3427"/>
    <x v="190"/>
    <x v="1"/>
    <d v="2024-09-09T00:00:00"/>
    <x v="1"/>
    <n v="5"/>
    <x v="0"/>
    <x v="1"/>
    <x v="1"/>
    <s v="No"/>
    <n v="0"/>
    <x v="4"/>
    <n v="4"/>
  </r>
  <r>
    <n v="3428"/>
    <x v="191"/>
    <x v="0"/>
    <d v="2024-09-10T00:00:00"/>
    <x v="0"/>
    <n v="15"/>
    <x v="1"/>
    <x v="0"/>
    <x v="0"/>
    <s v="Yes"/>
    <n v="20"/>
    <x v="3"/>
    <n v="62"/>
  </r>
  <r>
    <n v="3429"/>
    <x v="192"/>
    <x v="2"/>
    <d v="2024-09-11T00:00:00"/>
    <x v="1"/>
    <n v="10"/>
    <x v="0"/>
    <x v="1"/>
    <x v="1"/>
    <s v="Yes"/>
    <n v="20"/>
    <x v="2"/>
    <n v="20"/>
  </r>
  <r>
    <n v="3430"/>
    <x v="193"/>
    <x v="1"/>
    <d v="2024-09-12T00:00:00"/>
    <x v="0"/>
    <n v="5"/>
    <x v="2"/>
    <x v="1"/>
    <x v="1"/>
    <s v="No"/>
    <n v="0"/>
    <x v="1"/>
    <n v="5"/>
  </r>
  <r>
    <n v="3431"/>
    <x v="194"/>
    <x v="0"/>
    <d v="2024-09-13T00:00:00"/>
    <x v="1"/>
    <n v="15"/>
    <x v="0"/>
    <x v="0"/>
    <x v="0"/>
    <s v="Yes"/>
    <n v="20"/>
    <x v="6"/>
    <n v="50"/>
  </r>
  <r>
    <n v="3432"/>
    <x v="195"/>
    <x v="2"/>
    <d v="2024-09-14T00:00:00"/>
    <x v="0"/>
    <n v="10"/>
    <x v="1"/>
    <x v="1"/>
    <x v="1"/>
    <s v="Yes"/>
    <n v="20"/>
    <x v="6"/>
    <n v="15"/>
  </r>
  <r>
    <n v="3433"/>
    <x v="196"/>
    <x v="1"/>
    <d v="2024-09-15T00:00:00"/>
    <x v="1"/>
    <n v="5"/>
    <x v="0"/>
    <x v="1"/>
    <x v="1"/>
    <s v="No"/>
    <n v="0"/>
    <x v="4"/>
    <n v="4"/>
  </r>
  <r>
    <n v="3434"/>
    <x v="197"/>
    <x v="0"/>
    <d v="2024-09-16T00:00:00"/>
    <x v="0"/>
    <n v="15"/>
    <x v="2"/>
    <x v="0"/>
    <x v="0"/>
    <s v="Yes"/>
    <n v="20"/>
    <x v="10"/>
    <n v="58"/>
  </r>
  <r>
    <n v="3435"/>
    <x v="198"/>
    <x v="2"/>
    <d v="2024-09-17T00:00:00"/>
    <x v="1"/>
    <n v="10"/>
    <x v="0"/>
    <x v="1"/>
    <x v="1"/>
    <s v="Yes"/>
    <n v="20"/>
    <x v="2"/>
    <n v="20"/>
  </r>
  <r>
    <n v="3436"/>
    <x v="199"/>
    <x v="1"/>
    <d v="2024-09-18T00:00:00"/>
    <x v="0"/>
    <n v="5"/>
    <x v="0"/>
    <x v="1"/>
    <x v="1"/>
    <s v="No"/>
    <n v="0"/>
    <x v="1"/>
    <n v="5"/>
  </r>
  <r>
    <n v="3437"/>
    <x v="200"/>
    <x v="0"/>
    <d v="2024-09-19T00:00:00"/>
    <x v="1"/>
    <n v="15"/>
    <x v="2"/>
    <x v="0"/>
    <x v="0"/>
    <s v="Yes"/>
    <n v="20"/>
    <x v="10"/>
    <n v="58"/>
  </r>
  <r>
    <n v="3438"/>
    <x v="201"/>
    <x v="2"/>
    <d v="2024-09-20T00:00:00"/>
    <x v="0"/>
    <n v="10"/>
    <x v="1"/>
    <x v="1"/>
    <x v="1"/>
    <s v="Yes"/>
    <n v="20"/>
    <x v="2"/>
    <n v="20"/>
  </r>
  <r>
    <n v="3439"/>
    <x v="202"/>
    <x v="1"/>
    <d v="2024-09-21T00:00:00"/>
    <x v="1"/>
    <n v="5"/>
    <x v="2"/>
    <x v="1"/>
    <x v="1"/>
    <s v="No"/>
    <n v="0"/>
    <x v="4"/>
    <n v="4"/>
  </r>
  <r>
    <n v="3440"/>
    <x v="203"/>
    <x v="0"/>
    <d v="2024-09-22T00:00:00"/>
    <x v="0"/>
    <n v="15"/>
    <x v="0"/>
    <x v="0"/>
    <x v="0"/>
    <s v="Yes"/>
    <n v="20"/>
    <x v="6"/>
    <n v="50"/>
  </r>
  <r>
    <n v="3441"/>
    <x v="204"/>
    <x v="2"/>
    <d v="2024-09-23T00:00:00"/>
    <x v="1"/>
    <n v="10"/>
    <x v="0"/>
    <x v="1"/>
    <x v="1"/>
    <s v="Yes"/>
    <n v="20"/>
    <x v="0"/>
    <n v="25"/>
  </r>
  <r>
    <n v="3442"/>
    <x v="205"/>
    <x v="1"/>
    <d v="2024-09-24T00:00:00"/>
    <x v="0"/>
    <n v="5"/>
    <x v="1"/>
    <x v="1"/>
    <x v="1"/>
    <s v="No"/>
    <n v="0"/>
    <x v="1"/>
    <n v="5"/>
  </r>
  <r>
    <n v="3443"/>
    <x v="206"/>
    <x v="0"/>
    <d v="2024-09-25T00:00:00"/>
    <x v="1"/>
    <n v="15"/>
    <x v="2"/>
    <x v="0"/>
    <x v="0"/>
    <s v="Yes"/>
    <n v="20"/>
    <x v="7"/>
    <n v="45"/>
  </r>
  <r>
    <n v="3444"/>
    <x v="207"/>
    <x v="2"/>
    <d v="2024-09-26T00:00:00"/>
    <x v="0"/>
    <n v="10"/>
    <x v="2"/>
    <x v="1"/>
    <x v="1"/>
    <s v="Yes"/>
    <n v="20"/>
    <x v="9"/>
    <n v="18"/>
  </r>
  <r>
    <n v="3445"/>
    <x v="37"/>
    <x v="1"/>
    <d v="2024-09-27T00:00:00"/>
    <x v="1"/>
    <n v="5"/>
    <x v="0"/>
    <x v="1"/>
    <x v="1"/>
    <s v="No"/>
    <n v="0"/>
    <x v="5"/>
    <n v="3"/>
  </r>
  <r>
    <n v="3446"/>
    <x v="208"/>
    <x v="0"/>
    <d v="2024-09-28T00:00:00"/>
    <x v="0"/>
    <n v="15"/>
    <x v="1"/>
    <x v="0"/>
    <x v="0"/>
    <s v="Yes"/>
    <n v="20"/>
    <x v="0"/>
    <n v="60"/>
  </r>
  <r>
    <n v="3447"/>
    <x v="209"/>
    <x v="2"/>
    <d v="2024-09-29T00:00:00"/>
    <x v="1"/>
    <n v="10"/>
    <x v="0"/>
    <x v="1"/>
    <x v="1"/>
    <s v="Yes"/>
    <n v="20"/>
    <x v="2"/>
    <n v="20"/>
  </r>
  <r>
    <n v="3448"/>
    <x v="210"/>
    <x v="1"/>
    <d v="2024-09-30T00:00:00"/>
    <x v="0"/>
    <n v="5"/>
    <x v="2"/>
    <x v="1"/>
    <x v="1"/>
    <s v="No"/>
    <n v="0"/>
    <x v="1"/>
    <n v="5"/>
  </r>
  <r>
    <n v="3449"/>
    <x v="211"/>
    <x v="0"/>
    <d v="2024-10-01T00:00:00"/>
    <x v="1"/>
    <n v="15"/>
    <x v="0"/>
    <x v="0"/>
    <x v="0"/>
    <s v="Yes"/>
    <n v="20"/>
    <x v="3"/>
    <n v="62"/>
  </r>
  <r>
    <n v="3450"/>
    <x v="212"/>
    <x v="2"/>
    <d v="2024-10-02T00:00:00"/>
    <x v="0"/>
    <n v="10"/>
    <x v="1"/>
    <x v="1"/>
    <x v="1"/>
    <s v="Yes"/>
    <n v="20"/>
    <x v="6"/>
    <n v="15"/>
  </r>
  <r>
    <n v="3451"/>
    <x v="213"/>
    <x v="1"/>
    <d v="2024-10-03T00:00:00"/>
    <x v="1"/>
    <n v="5"/>
    <x v="0"/>
    <x v="1"/>
    <x v="1"/>
    <s v="No"/>
    <n v="0"/>
    <x v="4"/>
    <n v="4"/>
  </r>
  <r>
    <n v="3452"/>
    <x v="191"/>
    <x v="0"/>
    <d v="2024-10-04T00:00:00"/>
    <x v="0"/>
    <n v="15"/>
    <x v="2"/>
    <x v="0"/>
    <x v="0"/>
    <s v="Yes"/>
    <n v="20"/>
    <x v="10"/>
    <n v="58"/>
  </r>
  <r>
    <n v="3453"/>
    <x v="45"/>
    <x v="2"/>
    <d v="2024-10-05T00:00:00"/>
    <x v="1"/>
    <n v="10"/>
    <x v="0"/>
    <x v="1"/>
    <x v="1"/>
    <s v="Yes"/>
    <n v="20"/>
    <x v="2"/>
    <n v="20"/>
  </r>
  <r>
    <n v="3454"/>
    <x v="214"/>
    <x v="1"/>
    <d v="2024-10-06T00:00:00"/>
    <x v="0"/>
    <n v="5"/>
    <x v="1"/>
    <x v="1"/>
    <x v="1"/>
    <s v="No"/>
    <n v="0"/>
    <x v="1"/>
    <n v="5"/>
  </r>
  <r>
    <n v="3455"/>
    <x v="215"/>
    <x v="0"/>
    <d v="2024-10-07T00:00:00"/>
    <x v="1"/>
    <n v="15"/>
    <x v="0"/>
    <x v="0"/>
    <x v="0"/>
    <s v="Yes"/>
    <n v="20"/>
    <x v="7"/>
    <n v="45"/>
  </r>
  <r>
    <n v="3456"/>
    <x v="216"/>
    <x v="2"/>
    <d v="2024-10-08T00:00:00"/>
    <x v="0"/>
    <n v="10"/>
    <x v="2"/>
    <x v="1"/>
    <x v="1"/>
    <s v="Yes"/>
    <n v="20"/>
    <x v="6"/>
    <n v="15"/>
  </r>
  <r>
    <n v="3457"/>
    <x v="217"/>
    <x v="1"/>
    <d v="2024-10-09T00:00:00"/>
    <x v="1"/>
    <n v="5"/>
    <x v="0"/>
    <x v="1"/>
    <x v="1"/>
    <s v="No"/>
    <n v="0"/>
    <x v="4"/>
    <n v="4"/>
  </r>
  <r>
    <n v="3458"/>
    <x v="218"/>
    <x v="0"/>
    <d v="2024-10-10T00:00:00"/>
    <x v="0"/>
    <n v="15"/>
    <x v="1"/>
    <x v="0"/>
    <x v="0"/>
    <s v="Yes"/>
    <n v="20"/>
    <x v="3"/>
    <n v="62"/>
  </r>
  <r>
    <n v="3459"/>
    <x v="219"/>
    <x v="2"/>
    <d v="2024-10-11T00:00:00"/>
    <x v="1"/>
    <n v="10"/>
    <x v="0"/>
    <x v="1"/>
    <x v="1"/>
    <s v="Yes"/>
    <n v="20"/>
    <x v="2"/>
    <n v="20"/>
  </r>
  <r>
    <n v="3460"/>
    <x v="127"/>
    <x v="1"/>
    <d v="2024-10-12T00:00:00"/>
    <x v="0"/>
    <n v="5"/>
    <x v="2"/>
    <x v="1"/>
    <x v="1"/>
    <s v="No"/>
    <n v="0"/>
    <x v="1"/>
    <n v="5"/>
  </r>
  <r>
    <n v="3461"/>
    <x v="220"/>
    <x v="0"/>
    <d v="2024-10-13T00:00:00"/>
    <x v="1"/>
    <n v="15"/>
    <x v="0"/>
    <x v="0"/>
    <x v="0"/>
    <s v="Yes"/>
    <n v="20"/>
    <x v="6"/>
    <n v="50"/>
  </r>
  <r>
    <n v="3462"/>
    <x v="221"/>
    <x v="2"/>
    <d v="2024-10-14T00:00:00"/>
    <x v="0"/>
    <n v="10"/>
    <x v="1"/>
    <x v="1"/>
    <x v="1"/>
    <s v="Yes"/>
    <n v="20"/>
    <x v="6"/>
    <n v="15"/>
  </r>
  <r>
    <n v="3463"/>
    <x v="222"/>
    <x v="1"/>
    <d v="2024-10-15T00:00:00"/>
    <x v="1"/>
    <n v="5"/>
    <x v="0"/>
    <x v="1"/>
    <x v="1"/>
    <s v="No"/>
    <n v="0"/>
    <x v="4"/>
    <n v="4"/>
  </r>
  <r>
    <n v="3464"/>
    <x v="223"/>
    <x v="0"/>
    <d v="2024-10-16T00:00:00"/>
    <x v="0"/>
    <n v="15"/>
    <x v="2"/>
    <x v="0"/>
    <x v="0"/>
    <s v="Yes"/>
    <n v="20"/>
    <x v="10"/>
    <n v="58"/>
  </r>
  <r>
    <n v="3465"/>
    <x v="224"/>
    <x v="2"/>
    <d v="2024-10-17T00:00:00"/>
    <x v="1"/>
    <n v="10"/>
    <x v="0"/>
    <x v="1"/>
    <x v="1"/>
    <s v="Yes"/>
    <n v="20"/>
    <x v="2"/>
    <n v="20"/>
  </r>
  <r>
    <n v="3466"/>
    <x v="225"/>
    <x v="1"/>
    <d v="2024-10-18T00:00:00"/>
    <x v="0"/>
    <n v="5"/>
    <x v="1"/>
    <x v="1"/>
    <x v="1"/>
    <s v="No"/>
    <n v="0"/>
    <x v="1"/>
    <n v="5"/>
  </r>
  <r>
    <n v="3467"/>
    <x v="226"/>
    <x v="0"/>
    <d v="2024-10-19T00:00:00"/>
    <x v="1"/>
    <n v="15"/>
    <x v="0"/>
    <x v="0"/>
    <x v="0"/>
    <s v="Yes"/>
    <n v="20"/>
    <x v="6"/>
    <n v="50"/>
  </r>
  <r>
    <n v="3468"/>
    <x v="227"/>
    <x v="2"/>
    <d v="2024-10-20T00:00:00"/>
    <x v="0"/>
    <n v="10"/>
    <x v="2"/>
    <x v="1"/>
    <x v="1"/>
    <s v="Yes"/>
    <n v="20"/>
    <x v="9"/>
    <n v="18"/>
  </r>
  <r>
    <n v="3469"/>
    <x v="228"/>
    <x v="1"/>
    <d v="2024-10-21T00:00:00"/>
    <x v="1"/>
    <n v="5"/>
    <x v="0"/>
    <x v="1"/>
    <x v="1"/>
    <s v="No"/>
    <n v="0"/>
    <x v="5"/>
    <n v="3"/>
  </r>
  <r>
    <n v="3470"/>
    <x v="229"/>
    <x v="0"/>
    <d v="2024-10-22T00:00:00"/>
    <x v="0"/>
    <n v="15"/>
    <x v="1"/>
    <x v="0"/>
    <x v="0"/>
    <s v="Yes"/>
    <n v="20"/>
    <x v="0"/>
    <n v="60"/>
  </r>
  <r>
    <n v="3471"/>
    <x v="230"/>
    <x v="2"/>
    <d v="2024-10-23T00:00:00"/>
    <x v="1"/>
    <n v="10"/>
    <x v="0"/>
    <x v="1"/>
    <x v="1"/>
    <s v="Yes"/>
    <n v="20"/>
    <x v="2"/>
    <n v="20"/>
  </r>
  <r>
    <n v="3472"/>
    <x v="231"/>
    <x v="1"/>
    <d v="2024-10-24T00:00:00"/>
    <x v="0"/>
    <n v="5"/>
    <x v="2"/>
    <x v="1"/>
    <x v="1"/>
    <s v="No"/>
    <n v="0"/>
    <x v="1"/>
    <n v="5"/>
  </r>
  <r>
    <n v="3473"/>
    <x v="140"/>
    <x v="0"/>
    <d v="2024-10-25T00:00:00"/>
    <x v="1"/>
    <n v="15"/>
    <x v="0"/>
    <x v="0"/>
    <x v="0"/>
    <s v="Yes"/>
    <n v="20"/>
    <x v="3"/>
    <n v="62"/>
  </r>
  <r>
    <n v="3474"/>
    <x v="232"/>
    <x v="2"/>
    <d v="2024-10-26T00:00:00"/>
    <x v="0"/>
    <n v="10"/>
    <x v="1"/>
    <x v="1"/>
    <x v="1"/>
    <s v="Yes"/>
    <n v="20"/>
    <x v="6"/>
    <n v="15"/>
  </r>
  <r>
    <n v="3475"/>
    <x v="233"/>
    <x v="1"/>
    <d v="2024-10-27T00:00:00"/>
    <x v="1"/>
    <n v="5"/>
    <x v="0"/>
    <x v="1"/>
    <x v="1"/>
    <s v="No"/>
    <n v="0"/>
    <x v="4"/>
    <n v="4"/>
  </r>
  <r>
    <n v="3476"/>
    <x v="234"/>
    <x v="0"/>
    <d v="2024-10-28T00:00:00"/>
    <x v="0"/>
    <n v="15"/>
    <x v="2"/>
    <x v="0"/>
    <x v="0"/>
    <s v="Yes"/>
    <n v="20"/>
    <x v="10"/>
    <n v="58"/>
  </r>
  <r>
    <n v="3477"/>
    <x v="235"/>
    <x v="2"/>
    <d v="2024-10-29T00:00:00"/>
    <x v="1"/>
    <n v="10"/>
    <x v="0"/>
    <x v="1"/>
    <x v="1"/>
    <s v="Yes"/>
    <n v="20"/>
    <x v="2"/>
    <n v="20"/>
  </r>
  <r>
    <n v="3478"/>
    <x v="236"/>
    <x v="1"/>
    <d v="2024-10-30T00:00:00"/>
    <x v="0"/>
    <n v="5"/>
    <x v="1"/>
    <x v="1"/>
    <x v="1"/>
    <s v="No"/>
    <n v="0"/>
    <x v="1"/>
    <n v="5"/>
  </r>
  <r>
    <n v="3479"/>
    <x v="237"/>
    <x v="0"/>
    <d v="2024-10-31T00:00:00"/>
    <x v="1"/>
    <n v="15"/>
    <x v="0"/>
    <x v="0"/>
    <x v="0"/>
    <s v="Yes"/>
    <n v="20"/>
    <x v="7"/>
    <n v="45"/>
  </r>
  <r>
    <n v="3480"/>
    <x v="238"/>
    <x v="2"/>
    <d v="2024-11-01T00:00:00"/>
    <x v="0"/>
    <n v="10"/>
    <x v="2"/>
    <x v="1"/>
    <x v="1"/>
    <s v="Yes"/>
    <n v="20"/>
    <x v="6"/>
    <n v="15"/>
  </r>
  <r>
    <n v="3481"/>
    <x v="239"/>
    <x v="1"/>
    <d v="2024-11-02T00:00:00"/>
    <x v="1"/>
    <n v="5"/>
    <x v="0"/>
    <x v="1"/>
    <x v="1"/>
    <s v="No"/>
    <n v="0"/>
    <x v="4"/>
    <n v="4"/>
  </r>
  <r>
    <n v="3482"/>
    <x v="240"/>
    <x v="0"/>
    <d v="2024-11-03T00:00:00"/>
    <x v="0"/>
    <n v="15"/>
    <x v="1"/>
    <x v="0"/>
    <x v="0"/>
    <s v="Yes"/>
    <n v="20"/>
    <x v="3"/>
    <n v="62"/>
  </r>
  <r>
    <n v="3483"/>
    <x v="241"/>
    <x v="2"/>
    <d v="2024-11-04T00:00:00"/>
    <x v="1"/>
    <n v="10"/>
    <x v="0"/>
    <x v="1"/>
    <x v="1"/>
    <s v="Yes"/>
    <n v="20"/>
    <x v="2"/>
    <n v="20"/>
  </r>
  <r>
    <n v="3484"/>
    <x v="242"/>
    <x v="1"/>
    <d v="2024-11-05T00:00:00"/>
    <x v="0"/>
    <n v="5"/>
    <x v="2"/>
    <x v="1"/>
    <x v="1"/>
    <s v="No"/>
    <n v="0"/>
    <x v="1"/>
    <n v="5"/>
  </r>
  <r>
    <n v="3485"/>
    <x v="243"/>
    <x v="0"/>
    <d v="2024-11-06T00:00:00"/>
    <x v="1"/>
    <n v="15"/>
    <x v="0"/>
    <x v="0"/>
    <x v="0"/>
    <s v="Yes"/>
    <n v="20"/>
    <x v="6"/>
    <n v="50"/>
  </r>
  <r>
    <n v="3486"/>
    <x v="244"/>
    <x v="1"/>
    <d v="2024-11-07T00:00:00"/>
    <x v="0"/>
    <n v="5"/>
    <x v="0"/>
    <x v="1"/>
    <x v="1"/>
    <s v="No"/>
    <n v="0"/>
    <x v="1"/>
    <n v="5"/>
  </r>
  <r>
    <n v="3487"/>
    <x v="245"/>
    <x v="0"/>
    <d v="2024-11-08T00:00:00"/>
    <x v="1"/>
    <n v="15"/>
    <x v="2"/>
    <x v="0"/>
    <x v="0"/>
    <s v="Yes"/>
    <n v="20"/>
    <x v="10"/>
    <n v="58"/>
  </r>
  <r>
    <n v="3488"/>
    <x v="246"/>
    <x v="2"/>
    <d v="2024-11-09T00:00:00"/>
    <x v="0"/>
    <n v="10"/>
    <x v="1"/>
    <x v="1"/>
    <x v="1"/>
    <s v="Yes"/>
    <n v="20"/>
    <x v="2"/>
    <n v="20"/>
  </r>
  <r>
    <n v="3489"/>
    <x v="247"/>
    <x v="1"/>
    <d v="2024-11-10T00:00:00"/>
    <x v="1"/>
    <n v="5"/>
    <x v="2"/>
    <x v="1"/>
    <x v="1"/>
    <s v="No"/>
    <n v="0"/>
    <x v="4"/>
    <n v="4"/>
  </r>
  <r>
    <n v="3490"/>
    <x v="248"/>
    <x v="0"/>
    <d v="2024-11-11T00:00:00"/>
    <x v="0"/>
    <n v="15"/>
    <x v="0"/>
    <x v="0"/>
    <x v="0"/>
    <s v="Yes"/>
    <n v="20"/>
    <x v="6"/>
    <n v="50"/>
  </r>
  <r>
    <n v="3491"/>
    <x v="249"/>
    <x v="2"/>
    <d v="2024-11-12T00:00:00"/>
    <x v="1"/>
    <n v="10"/>
    <x v="0"/>
    <x v="1"/>
    <x v="1"/>
    <s v="Yes"/>
    <n v="20"/>
    <x v="0"/>
    <n v="25"/>
  </r>
  <r>
    <n v="3492"/>
    <x v="250"/>
    <x v="1"/>
    <d v="2024-11-13T00:00:00"/>
    <x v="0"/>
    <n v="5"/>
    <x v="1"/>
    <x v="1"/>
    <x v="1"/>
    <s v="No"/>
    <n v="0"/>
    <x v="1"/>
    <n v="5"/>
  </r>
  <r>
    <n v="3493"/>
    <x v="251"/>
    <x v="0"/>
    <d v="2024-11-14T00:00:00"/>
    <x v="1"/>
    <n v="15"/>
    <x v="2"/>
    <x v="0"/>
    <x v="0"/>
    <s v="Yes"/>
    <n v="20"/>
    <x v="7"/>
    <n v="45"/>
  </r>
  <r>
    <n v="3494"/>
    <x v="252"/>
    <x v="2"/>
    <d v="2024-11-15T00:00:00"/>
    <x v="0"/>
    <n v="10"/>
    <x v="2"/>
    <x v="1"/>
    <x v="1"/>
    <s v="Yes"/>
    <n v="20"/>
    <x v="9"/>
    <n v="18"/>
  </r>
  <r>
    <n v="3495"/>
    <x v="253"/>
    <x v="1"/>
    <d v="2024-11-16T00:00:00"/>
    <x v="1"/>
    <n v="5"/>
    <x v="0"/>
    <x v="1"/>
    <x v="1"/>
    <s v="No"/>
    <n v="0"/>
    <x v="5"/>
    <n v="3"/>
  </r>
  <r>
    <n v="3496"/>
    <x v="254"/>
    <x v="0"/>
    <d v="2024-11-17T00:00:00"/>
    <x v="0"/>
    <n v="15"/>
    <x v="1"/>
    <x v="0"/>
    <x v="0"/>
    <s v="Yes"/>
    <n v="20"/>
    <x v="0"/>
    <n v="60"/>
  </r>
  <r>
    <n v="3497"/>
    <x v="255"/>
    <x v="2"/>
    <d v="2024-11-18T00:00:00"/>
    <x v="1"/>
    <n v="10"/>
    <x v="0"/>
    <x v="1"/>
    <x v="1"/>
    <s v="Yes"/>
    <n v="20"/>
    <x v="2"/>
    <n v="20"/>
  </r>
  <r>
    <n v="3498"/>
    <x v="256"/>
    <x v="1"/>
    <d v="2024-11-19T00:00:00"/>
    <x v="0"/>
    <n v="5"/>
    <x v="2"/>
    <x v="1"/>
    <x v="1"/>
    <s v="No"/>
    <n v="0"/>
    <x v="1"/>
    <n v="5"/>
  </r>
  <r>
    <n v="3499"/>
    <x v="257"/>
    <x v="0"/>
    <d v="2024-11-20T00:00:00"/>
    <x v="1"/>
    <n v="15"/>
    <x v="0"/>
    <x v="0"/>
    <x v="0"/>
    <s v="Yes"/>
    <n v="20"/>
    <x v="3"/>
    <n v="62"/>
  </r>
  <r>
    <n v="3500"/>
    <x v="258"/>
    <x v="2"/>
    <d v="2024-11-21T00:00:00"/>
    <x v="0"/>
    <n v="10"/>
    <x v="1"/>
    <x v="1"/>
    <x v="1"/>
    <s v="Yes"/>
    <n v="20"/>
    <x v="6"/>
    <n v="15"/>
  </r>
  <r>
    <n v="3501"/>
    <x v="259"/>
    <x v="1"/>
    <d v="2024-11-22T00:00:00"/>
    <x v="1"/>
    <n v="5"/>
    <x v="0"/>
    <x v="1"/>
    <x v="1"/>
    <s v="No"/>
    <n v="0"/>
    <x v="4"/>
    <n v="4"/>
  </r>
  <r>
    <n v="3502"/>
    <x v="260"/>
    <x v="0"/>
    <d v="2024-11-23T00:00:00"/>
    <x v="0"/>
    <n v="15"/>
    <x v="2"/>
    <x v="0"/>
    <x v="0"/>
    <s v="Yes"/>
    <n v="20"/>
    <x v="10"/>
    <n v="58"/>
  </r>
  <r>
    <n v="3503"/>
    <x v="119"/>
    <x v="2"/>
    <d v="2024-11-24T00:00:00"/>
    <x v="1"/>
    <n v="10"/>
    <x v="0"/>
    <x v="1"/>
    <x v="1"/>
    <s v="Yes"/>
    <n v="20"/>
    <x v="2"/>
    <n v="20"/>
  </r>
  <r>
    <n v="3504"/>
    <x v="261"/>
    <x v="1"/>
    <d v="2024-11-25T00:00:00"/>
    <x v="0"/>
    <n v="5"/>
    <x v="1"/>
    <x v="1"/>
    <x v="1"/>
    <s v="No"/>
    <n v="0"/>
    <x v="1"/>
    <n v="5"/>
  </r>
  <r>
    <n v="3505"/>
    <x v="262"/>
    <x v="0"/>
    <d v="2024-11-26T00:00:00"/>
    <x v="1"/>
    <n v="15"/>
    <x v="0"/>
    <x v="0"/>
    <x v="0"/>
    <s v="Yes"/>
    <n v="20"/>
    <x v="7"/>
    <n v="45"/>
  </r>
  <r>
    <n v="3506"/>
    <x v="263"/>
    <x v="2"/>
    <d v="2024-11-27T00:00:00"/>
    <x v="0"/>
    <n v="10"/>
    <x v="2"/>
    <x v="1"/>
    <x v="1"/>
    <s v="Yes"/>
    <n v="20"/>
    <x v="6"/>
    <n v="15"/>
  </r>
  <r>
    <n v="3507"/>
    <x v="264"/>
    <x v="1"/>
    <d v="2024-11-28T00:00:00"/>
    <x v="1"/>
    <n v="5"/>
    <x v="0"/>
    <x v="1"/>
    <x v="1"/>
    <s v="No"/>
    <n v="0"/>
    <x v="4"/>
    <n v="4"/>
  </r>
  <r>
    <n v="3508"/>
    <x v="265"/>
    <x v="0"/>
    <d v="2024-11-29T00:00:00"/>
    <x v="0"/>
    <n v="15"/>
    <x v="1"/>
    <x v="0"/>
    <x v="0"/>
    <s v="Yes"/>
    <n v="20"/>
    <x v="3"/>
    <n v="62"/>
  </r>
  <r>
    <n v="3509"/>
    <x v="266"/>
    <x v="2"/>
    <d v="2024-11-30T00:00:00"/>
    <x v="1"/>
    <n v="10"/>
    <x v="0"/>
    <x v="1"/>
    <x v="1"/>
    <s v="Yes"/>
    <n v="20"/>
    <x v="2"/>
    <n v="20"/>
  </r>
  <r>
    <n v="3510"/>
    <x v="267"/>
    <x v="1"/>
    <d v="2024-12-01T00:00:00"/>
    <x v="0"/>
    <n v="5"/>
    <x v="2"/>
    <x v="1"/>
    <x v="1"/>
    <s v="No"/>
    <n v="0"/>
    <x v="1"/>
    <n v="5"/>
  </r>
  <r>
    <n v="3511"/>
    <x v="268"/>
    <x v="0"/>
    <d v="2024-12-02T00:00:00"/>
    <x v="1"/>
    <n v="15"/>
    <x v="0"/>
    <x v="0"/>
    <x v="0"/>
    <s v="Yes"/>
    <n v="20"/>
    <x v="6"/>
    <n v="50"/>
  </r>
  <r>
    <n v="3512"/>
    <x v="269"/>
    <x v="2"/>
    <d v="2024-12-03T00:00:00"/>
    <x v="0"/>
    <n v="10"/>
    <x v="1"/>
    <x v="1"/>
    <x v="1"/>
    <s v="Yes"/>
    <n v="20"/>
    <x v="6"/>
    <n v="15"/>
  </r>
  <r>
    <n v="3513"/>
    <x v="270"/>
    <x v="1"/>
    <d v="2024-12-04T00:00:00"/>
    <x v="1"/>
    <n v="5"/>
    <x v="0"/>
    <x v="1"/>
    <x v="1"/>
    <s v="No"/>
    <n v="0"/>
    <x v="4"/>
    <n v="4"/>
  </r>
  <r>
    <n v="3514"/>
    <x v="271"/>
    <x v="0"/>
    <d v="2024-12-05T00:00:00"/>
    <x v="0"/>
    <n v="15"/>
    <x v="2"/>
    <x v="0"/>
    <x v="0"/>
    <s v="Yes"/>
    <n v="20"/>
    <x v="10"/>
    <n v="58"/>
  </r>
  <r>
    <n v="3515"/>
    <x v="130"/>
    <x v="2"/>
    <d v="2024-12-06T00:00:00"/>
    <x v="1"/>
    <n v="10"/>
    <x v="0"/>
    <x v="1"/>
    <x v="1"/>
    <s v="Yes"/>
    <n v="20"/>
    <x v="2"/>
    <n v="20"/>
  </r>
  <r>
    <n v="3516"/>
    <x v="131"/>
    <x v="1"/>
    <d v="2024-12-07T00:00:00"/>
    <x v="0"/>
    <n v="5"/>
    <x v="1"/>
    <x v="1"/>
    <x v="1"/>
    <s v="No"/>
    <n v="0"/>
    <x v="1"/>
    <n v="5"/>
  </r>
  <r>
    <n v="3517"/>
    <x v="181"/>
    <x v="0"/>
    <d v="2024-12-08T00:00:00"/>
    <x v="1"/>
    <n v="15"/>
    <x v="0"/>
    <x v="0"/>
    <x v="0"/>
    <s v="Yes"/>
    <n v="20"/>
    <x v="7"/>
    <n v="45"/>
  </r>
  <r>
    <n v="3518"/>
    <x v="272"/>
    <x v="2"/>
    <d v="2024-12-09T00:00:00"/>
    <x v="0"/>
    <n v="10"/>
    <x v="2"/>
    <x v="1"/>
    <x v="1"/>
    <s v="Yes"/>
    <n v="20"/>
    <x v="9"/>
    <n v="18"/>
  </r>
  <r>
    <n v="3519"/>
    <x v="273"/>
    <x v="1"/>
    <d v="2024-12-10T00:00:00"/>
    <x v="1"/>
    <n v="5"/>
    <x v="0"/>
    <x v="1"/>
    <x v="1"/>
    <s v="No"/>
    <n v="0"/>
    <x v="5"/>
    <n v="3"/>
  </r>
  <r>
    <n v="3520"/>
    <x v="274"/>
    <x v="0"/>
    <d v="2024-12-11T00:00:00"/>
    <x v="0"/>
    <n v="15"/>
    <x v="1"/>
    <x v="0"/>
    <x v="0"/>
    <s v="Yes"/>
    <n v="20"/>
    <x v="0"/>
    <n v="60"/>
  </r>
  <r>
    <n v="3521"/>
    <x v="275"/>
    <x v="2"/>
    <d v="2024-12-12T00:00:00"/>
    <x v="1"/>
    <n v="10"/>
    <x v="0"/>
    <x v="1"/>
    <x v="1"/>
    <s v="Yes"/>
    <n v="20"/>
    <x v="2"/>
    <n v="20"/>
  </r>
  <r>
    <n v="3522"/>
    <x v="276"/>
    <x v="1"/>
    <d v="2024-12-13T00:00:00"/>
    <x v="0"/>
    <n v="5"/>
    <x v="2"/>
    <x v="1"/>
    <x v="1"/>
    <s v="No"/>
    <n v="0"/>
    <x v="1"/>
    <n v="5"/>
  </r>
  <r>
    <n v="3523"/>
    <x v="277"/>
    <x v="0"/>
    <d v="2024-12-14T00:00:00"/>
    <x v="1"/>
    <n v="15"/>
    <x v="0"/>
    <x v="0"/>
    <x v="0"/>
    <s v="Yes"/>
    <n v="20"/>
    <x v="3"/>
    <n v="62"/>
  </r>
  <r>
    <n v="3524"/>
    <x v="278"/>
    <x v="2"/>
    <d v="2024-12-15T00:00:00"/>
    <x v="0"/>
    <n v="10"/>
    <x v="1"/>
    <x v="1"/>
    <x v="1"/>
    <s v="Yes"/>
    <n v="20"/>
    <x v="6"/>
    <n v="15"/>
  </r>
  <r>
    <n v="3525"/>
    <x v="279"/>
    <x v="1"/>
    <d v="2024-12-16T00:00:00"/>
    <x v="1"/>
    <n v="5"/>
    <x v="0"/>
    <x v="1"/>
    <x v="1"/>
    <s v="N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C57D7-D592-4412-8868-BA44FB308509}" name="Tabela dinâmica5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B83:E87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dataField="1"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dataField="1"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oma de EA Play Season PassPrice" fld="8" baseField="0" baseItem="0" numFmtId="44"/>
    <dataField name="Soma de Minecraft Season Pass Price" fld="10" baseField="0" baseItem="0" numFmtId="44"/>
    <dataField name="Soma de Subscription Price" fld="5" baseField="0" baseItem="0" numFmtId="44"/>
  </dataFields>
  <formats count="1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73728-2E5E-4DAF-A999-DC87B8BA8781}" name="Tabela dinâmica4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B74:C7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14" format="18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14" format="20" series="1">
      <pivotArea type="data" outline="0" fieldPosition="0">
        <references count="1"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9AF30-24FE-453E-88F3-69B1D10528F0}" name="Tabela dinâmica3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B64:D68" firstHeaderRow="0" firstDataRow="1" firstDataCol="1" rowPageCount="1" colPageCount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Coupon Value" fld="11" baseField="0" baseItem="0" numFmtId="44"/>
    <dataField name="Contagem de Subscriber ID" fld="0" subtotal="count" baseField="0" baseItem="0"/>
  </dataFields>
  <chartFormats count="11">
    <chartFormat chart="14" format="18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14" format="20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59F72-FF14-43E7-9EA7-836DDDF522A0}" name="Tabela dinâmica1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43:F47" firstHeaderRow="1" firstDataRow="2" firstDataCol="1" rowPageCount="1" colPageCount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ntagem de Subscriber ID" fld="0" subtotal="count" baseField="0" baseItem="0"/>
  </dataFields>
  <chartFormats count="12"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easeasonpass_total"/>
    <pivotTable tabId="3" name="Tabela dinâmica9"/>
    <pivotTable tabId="3" name="tbl_annual_total"/>
    <pivotTable tabId="3" name="Tabela dinâmica1"/>
    <pivotTable tabId="3" name="Tabela dinâmica3"/>
    <pivotTable tabId="3" name="Tabela dinâmica4"/>
    <pivotTable tabId="3" name="Tabela dinâmica5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I2" sqref="I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20">
        <v>30</v>
      </c>
      <c r="J2" s="8" t="s">
        <v>26</v>
      </c>
      <c r="K2" s="20">
        <v>20</v>
      </c>
      <c r="L2" s="20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20">
        <v>0</v>
      </c>
      <c r="J3" s="8" t="s">
        <v>30</v>
      </c>
      <c r="K3" s="20">
        <v>0</v>
      </c>
      <c r="L3" s="20">
        <v>0</v>
      </c>
      <c r="M3" s="11">
        <v>5</v>
      </c>
    </row>
    <row r="4" spans="1:13" ht="16.5" customHeight="1">
      <c r="A4" s="8">
        <v>3233</v>
      </c>
      <c r="B4" s="8" t="s">
        <v>32</v>
      </c>
      <c r="C4" s="8" t="s">
        <v>33</v>
      </c>
      <c r="D4" s="10">
        <v>45332</v>
      </c>
      <c r="E4" s="8" t="s">
        <v>26</v>
      </c>
      <c r="F4" s="11">
        <v>10</v>
      </c>
      <c r="G4" s="8" t="s">
        <v>34</v>
      </c>
      <c r="H4" s="8" t="s">
        <v>30</v>
      </c>
      <c r="I4" s="20">
        <v>0</v>
      </c>
      <c r="J4" s="8" t="s">
        <v>26</v>
      </c>
      <c r="K4" s="20">
        <v>20</v>
      </c>
      <c r="L4" s="20">
        <v>10</v>
      </c>
      <c r="M4" s="11">
        <v>20</v>
      </c>
    </row>
    <row r="5" spans="1:13" ht="16.5" customHeight="1">
      <c r="A5" s="8">
        <v>3234</v>
      </c>
      <c r="B5" s="8" t="s">
        <v>35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20">
        <v>30</v>
      </c>
      <c r="J5" s="8" t="s">
        <v>26</v>
      </c>
      <c r="K5" s="20">
        <v>20</v>
      </c>
      <c r="L5" s="20">
        <v>3</v>
      </c>
      <c r="M5" s="11">
        <v>62</v>
      </c>
    </row>
    <row r="6" spans="1:13" ht="16.5" customHeight="1">
      <c r="A6" s="8">
        <v>3235</v>
      </c>
      <c r="B6" s="8" t="s">
        <v>36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20">
        <v>0</v>
      </c>
      <c r="J6" s="8" t="s">
        <v>30</v>
      </c>
      <c r="K6" s="20">
        <v>0</v>
      </c>
      <c r="L6" s="20">
        <v>1</v>
      </c>
      <c r="M6" s="11">
        <v>4</v>
      </c>
    </row>
    <row r="7" spans="1:13" ht="16.5" customHeight="1">
      <c r="A7" s="8">
        <v>3236</v>
      </c>
      <c r="B7" s="8" t="s">
        <v>37</v>
      </c>
      <c r="C7" s="8" t="s">
        <v>33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20">
        <v>0</v>
      </c>
      <c r="J7" s="8" t="s">
        <v>26</v>
      </c>
      <c r="K7" s="20">
        <v>20</v>
      </c>
      <c r="L7" s="20">
        <v>2</v>
      </c>
      <c r="M7" s="11">
        <v>28</v>
      </c>
    </row>
    <row r="8" spans="1:13" ht="16.5" customHeight="1">
      <c r="A8" s="8">
        <v>3237</v>
      </c>
      <c r="B8" s="8" t="s">
        <v>38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34</v>
      </c>
      <c r="H8" s="8" t="s">
        <v>26</v>
      </c>
      <c r="I8" s="20">
        <v>30</v>
      </c>
      <c r="J8" s="8" t="s">
        <v>26</v>
      </c>
      <c r="K8" s="20">
        <v>20</v>
      </c>
      <c r="L8" s="20">
        <v>10</v>
      </c>
      <c r="M8" s="11">
        <v>55</v>
      </c>
    </row>
    <row r="9" spans="1:13" ht="16.5" customHeight="1">
      <c r="A9" s="8">
        <v>3238</v>
      </c>
      <c r="B9" s="8" t="s">
        <v>39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20">
        <v>0</v>
      </c>
      <c r="J9" s="8" t="s">
        <v>30</v>
      </c>
      <c r="K9" s="20">
        <v>0</v>
      </c>
      <c r="L9" s="20">
        <v>0</v>
      </c>
      <c r="M9" s="11">
        <v>5</v>
      </c>
    </row>
    <row r="10" spans="1:13" ht="16.5" customHeight="1">
      <c r="A10" s="8">
        <v>3239</v>
      </c>
      <c r="B10" s="8" t="s">
        <v>40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20">
        <v>30</v>
      </c>
      <c r="J10" s="8" t="s">
        <v>26</v>
      </c>
      <c r="K10" s="20">
        <v>20</v>
      </c>
      <c r="L10" s="20">
        <v>5</v>
      </c>
      <c r="M10" s="11">
        <v>60</v>
      </c>
    </row>
    <row r="11" spans="1:13" ht="16.5" customHeight="1">
      <c r="A11" s="8">
        <v>3240</v>
      </c>
      <c r="B11" s="8" t="s">
        <v>41</v>
      </c>
      <c r="C11" s="8" t="s">
        <v>33</v>
      </c>
      <c r="D11" s="10">
        <v>45357</v>
      </c>
      <c r="E11" s="8" t="s">
        <v>26</v>
      </c>
      <c r="F11" s="11">
        <v>10</v>
      </c>
      <c r="G11" s="8" t="s">
        <v>34</v>
      </c>
      <c r="H11" s="8" t="s">
        <v>30</v>
      </c>
      <c r="I11" s="20">
        <v>0</v>
      </c>
      <c r="J11" s="8" t="s">
        <v>26</v>
      </c>
      <c r="K11" s="20">
        <v>20</v>
      </c>
      <c r="L11" s="20">
        <v>15</v>
      </c>
      <c r="M11" s="11">
        <v>15</v>
      </c>
    </row>
    <row r="12" spans="1:13" ht="16.5" customHeight="1">
      <c r="A12" s="8">
        <v>3241</v>
      </c>
      <c r="B12" s="8" t="s">
        <v>42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20">
        <v>0</v>
      </c>
      <c r="J12" s="8" t="s">
        <v>30</v>
      </c>
      <c r="K12" s="20">
        <v>0</v>
      </c>
      <c r="L12" s="20">
        <v>1</v>
      </c>
      <c r="M12" s="11">
        <v>4</v>
      </c>
    </row>
    <row r="13" spans="1:13" ht="16.5" customHeight="1">
      <c r="A13" s="8">
        <v>3242</v>
      </c>
      <c r="B13" s="8" t="s">
        <v>43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20">
        <v>30</v>
      </c>
      <c r="J13" s="8" t="s">
        <v>26</v>
      </c>
      <c r="K13" s="20">
        <v>20</v>
      </c>
      <c r="L13" s="20">
        <v>20</v>
      </c>
      <c r="M13" s="11">
        <v>45</v>
      </c>
    </row>
    <row r="14" spans="1:13" ht="16.5" customHeight="1">
      <c r="A14" s="8">
        <v>3243</v>
      </c>
      <c r="B14" s="8" t="s">
        <v>44</v>
      </c>
      <c r="C14" s="8" t="s">
        <v>33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20">
        <v>0</v>
      </c>
      <c r="J14" s="8" t="s">
        <v>26</v>
      </c>
      <c r="K14" s="20">
        <v>20</v>
      </c>
      <c r="L14" s="20">
        <v>10</v>
      </c>
      <c r="M14" s="11">
        <v>20</v>
      </c>
    </row>
    <row r="15" spans="1:13" ht="16.5" customHeight="1">
      <c r="A15" s="8">
        <v>3244</v>
      </c>
      <c r="B15" s="8" t="s">
        <v>45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34</v>
      </c>
      <c r="H15" s="8" t="s">
        <v>30</v>
      </c>
      <c r="I15" s="20">
        <v>0</v>
      </c>
      <c r="J15" s="8" t="s">
        <v>30</v>
      </c>
      <c r="K15" s="20">
        <v>0</v>
      </c>
      <c r="L15" s="20">
        <v>0</v>
      </c>
      <c r="M15" s="11">
        <v>5</v>
      </c>
    </row>
    <row r="16" spans="1:13" ht="16.5" customHeight="1">
      <c r="A16" s="8">
        <v>3245</v>
      </c>
      <c r="B16" s="8" t="s">
        <v>46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20">
        <v>30</v>
      </c>
      <c r="J16" s="8" t="s">
        <v>26</v>
      </c>
      <c r="K16" s="20">
        <v>20</v>
      </c>
      <c r="L16" s="20">
        <v>8</v>
      </c>
      <c r="M16" s="11">
        <v>57</v>
      </c>
    </row>
    <row r="17" spans="1:13" ht="16.5" customHeight="1">
      <c r="A17" s="8">
        <v>3246</v>
      </c>
      <c r="B17" s="8" t="s">
        <v>47</v>
      </c>
      <c r="C17" s="8" t="s">
        <v>33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20">
        <v>0</v>
      </c>
      <c r="J17" s="8" t="s">
        <v>26</v>
      </c>
      <c r="K17" s="20">
        <v>20</v>
      </c>
      <c r="L17" s="20">
        <v>12</v>
      </c>
      <c r="M17" s="11">
        <v>18</v>
      </c>
    </row>
    <row r="18" spans="1:13" ht="16.5" customHeight="1">
      <c r="A18" s="8">
        <v>3247</v>
      </c>
      <c r="B18" s="8" t="s">
        <v>48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20">
        <v>0</v>
      </c>
      <c r="J18" s="8" t="s">
        <v>30</v>
      </c>
      <c r="K18" s="20">
        <v>0</v>
      </c>
      <c r="L18" s="20">
        <v>2</v>
      </c>
      <c r="M18" s="11">
        <v>3</v>
      </c>
    </row>
    <row r="19" spans="1:13" ht="16.5" customHeight="1">
      <c r="A19" s="8">
        <v>3248</v>
      </c>
      <c r="B19" s="8" t="s">
        <v>49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34</v>
      </c>
      <c r="H19" s="8" t="s">
        <v>26</v>
      </c>
      <c r="I19" s="20">
        <v>30</v>
      </c>
      <c r="J19" s="8" t="s">
        <v>26</v>
      </c>
      <c r="K19" s="20">
        <v>20</v>
      </c>
      <c r="L19" s="20">
        <v>7</v>
      </c>
      <c r="M19" s="11">
        <v>58</v>
      </c>
    </row>
    <row r="20" spans="1:13" ht="16.5" customHeight="1">
      <c r="A20" s="8">
        <v>3249</v>
      </c>
      <c r="B20" s="8" t="s">
        <v>50</v>
      </c>
      <c r="C20" s="8" t="s">
        <v>33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20">
        <v>0</v>
      </c>
      <c r="J20" s="8" t="s">
        <v>26</v>
      </c>
      <c r="K20" s="20">
        <v>20</v>
      </c>
      <c r="L20" s="20">
        <v>5</v>
      </c>
      <c r="M20" s="11">
        <v>25</v>
      </c>
    </row>
    <row r="21" spans="1:13" ht="16.5" customHeight="1">
      <c r="A21" s="8">
        <v>3250</v>
      </c>
      <c r="B21" s="8" t="s">
        <v>51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20">
        <v>0</v>
      </c>
      <c r="J21" s="8" t="s">
        <v>30</v>
      </c>
      <c r="K21" s="20">
        <v>0</v>
      </c>
      <c r="L21" s="20">
        <v>0</v>
      </c>
      <c r="M21" s="11">
        <v>5</v>
      </c>
    </row>
    <row r="22" spans="1:13" ht="16.5" customHeight="1">
      <c r="A22" s="8">
        <v>3251</v>
      </c>
      <c r="B22" s="8" t="s">
        <v>52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20">
        <v>30</v>
      </c>
      <c r="J22" s="8" t="s">
        <v>26</v>
      </c>
      <c r="K22" s="20">
        <v>20</v>
      </c>
      <c r="L22" s="20">
        <v>3</v>
      </c>
      <c r="M22" s="11">
        <v>62</v>
      </c>
    </row>
    <row r="23" spans="1:13" ht="16.5" customHeight="1">
      <c r="A23" s="8">
        <v>3252</v>
      </c>
      <c r="B23" s="8" t="s">
        <v>53</v>
      </c>
      <c r="C23" s="8" t="s">
        <v>33</v>
      </c>
      <c r="D23" s="10">
        <v>45369</v>
      </c>
      <c r="E23" s="8" t="s">
        <v>26</v>
      </c>
      <c r="F23" s="11">
        <v>10</v>
      </c>
      <c r="G23" s="8" t="s">
        <v>34</v>
      </c>
      <c r="H23" s="8" t="s">
        <v>30</v>
      </c>
      <c r="I23" s="20">
        <v>0</v>
      </c>
      <c r="J23" s="8" t="s">
        <v>26</v>
      </c>
      <c r="K23" s="20">
        <v>20</v>
      </c>
      <c r="L23" s="20">
        <v>15</v>
      </c>
      <c r="M23" s="11">
        <v>15</v>
      </c>
    </row>
    <row r="24" spans="1:13" ht="16.5" customHeight="1">
      <c r="A24" s="8">
        <v>3253</v>
      </c>
      <c r="B24" s="8" t="s">
        <v>54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20">
        <v>0</v>
      </c>
      <c r="J24" s="8" t="s">
        <v>30</v>
      </c>
      <c r="K24" s="20">
        <v>0</v>
      </c>
      <c r="L24" s="20">
        <v>1</v>
      </c>
      <c r="M24" s="11">
        <v>4</v>
      </c>
    </row>
    <row r="25" spans="1:13" ht="16.5" customHeight="1">
      <c r="A25" s="8">
        <v>3254</v>
      </c>
      <c r="B25" s="8" t="s">
        <v>55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20">
        <v>30</v>
      </c>
      <c r="J25" s="8" t="s">
        <v>26</v>
      </c>
      <c r="K25" s="20">
        <v>20</v>
      </c>
      <c r="L25" s="20">
        <v>20</v>
      </c>
      <c r="M25" s="11">
        <v>45</v>
      </c>
    </row>
    <row r="26" spans="1:13" ht="16.5" customHeight="1">
      <c r="A26" s="8">
        <v>3255</v>
      </c>
      <c r="B26" s="8" t="s">
        <v>56</v>
      </c>
      <c r="C26" s="8" t="s">
        <v>33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20">
        <v>0</v>
      </c>
      <c r="J26" s="8" t="s">
        <v>26</v>
      </c>
      <c r="K26" s="20">
        <v>20</v>
      </c>
      <c r="L26" s="20">
        <v>10</v>
      </c>
      <c r="M26" s="11">
        <v>20</v>
      </c>
    </row>
    <row r="27" spans="1:13" ht="16.5" customHeight="1">
      <c r="A27" s="8">
        <v>3256</v>
      </c>
      <c r="B27" s="8" t="s">
        <v>57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34</v>
      </c>
      <c r="H27" s="8" t="s">
        <v>30</v>
      </c>
      <c r="I27" s="20">
        <v>0</v>
      </c>
      <c r="J27" s="8" t="s">
        <v>30</v>
      </c>
      <c r="K27" s="20">
        <v>0</v>
      </c>
      <c r="L27" s="20">
        <v>0</v>
      </c>
      <c r="M27" s="11">
        <v>5</v>
      </c>
    </row>
    <row r="28" spans="1:13" ht="16.5" customHeight="1">
      <c r="A28" s="8">
        <v>3257</v>
      </c>
      <c r="B28" s="8" t="s">
        <v>58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20">
        <v>30</v>
      </c>
      <c r="J28" s="8" t="s">
        <v>26</v>
      </c>
      <c r="K28" s="20">
        <v>20</v>
      </c>
      <c r="L28" s="20">
        <v>5</v>
      </c>
      <c r="M28" s="11">
        <v>60</v>
      </c>
    </row>
    <row r="29" spans="1:13" ht="16.5" customHeight="1">
      <c r="A29" s="8">
        <v>3258</v>
      </c>
      <c r="B29" s="8" t="s">
        <v>59</v>
      </c>
      <c r="C29" s="8" t="s">
        <v>33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20">
        <v>0</v>
      </c>
      <c r="J29" s="8" t="s">
        <v>26</v>
      </c>
      <c r="K29" s="20">
        <v>20</v>
      </c>
      <c r="L29" s="20">
        <v>15</v>
      </c>
      <c r="M29" s="11">
        <v>15</v>
      </c>
    </row>
    <row r="30" spans="1:13" ht="16.5" customHeight="1">
      <c r="A30" s="8">
        <v>3259</v>
      </c>
      <c r="B30" s="8" t="s">
        <v>60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20">
        <v>0</v>
      </c>
      <c r="J30" s="8" t="s">
        <v>30</v>
      </c>
      <c r="K30" s="20">
        <v>0</v>
      </c>
      <c r="L30" s="20">
        <v>1</v>
      </c>
      <c r="M30" s="11">
        <v>4</v>
      </c>
    </row>
    <row r="31" spans="1:13" ht="16.5" customHeight="1">
      <c r="A31" s="8">
        <v>3260</v>
      </c>
      <c r="B31" s="8" t="s">
        <v>61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34</v>
      </c>
      <c r="H31" s="8" t="s">
        <v>26</v>
      </c>
      <c r="I31" s="20">
        <v>30</v>
      </c>
      <c r="J31" s="8" t="s">
        <v>26</v>
      </c>
      <c r="K31" s="20">
        <v>20</v>
      </c>
      <c r="L31" s="20">
        <v>7</v>
      </c>
      <c r="M31" s="11">
        <v>58</v>
      </c>
    </row>
    <row r="32" spans="1:13" ht="16.5" customHeight="1">
      <c r="A32" s="8">
        <v>3261</v>
      </c>
      <c r="B32" s="8" t="s">
        <v>62</v>
      </c>
      <c r="C32" s="8" t="s">
        <v>33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20">
        <v>0</v>
      </c>
      <c r="J32" s="8" t="s">
        <v>26</v>
      </c>
      <c r="K32" s="20">
        <v>20</v>
      </c>
      <c r="L32" s="20">
        <v>10</v>
      </c>
      <c r="M32" s="11">
        <v>20</v>
      </c>
    </row>
    <row r="33" spans="1:13" ht="16.5" customHeight="1">
      <c r="A33" s="8">
        <v>3262</v>
      </c>
      <c r="B33" s="8" t="s">
        <v>63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20">
        <v>0</v>
      </c>
      <c r="J33" s="8" t="s">
        <v>30</v>
      </c>
      <c r="K33" s="20">
        <v>0</v>
      </c>
      <c r="L33" s="20">
        <v>0</v>
      </c>
      <c r="M33" s="11">
        <v>5</v>
      </c>
    </row>
    <row r="34" spans="1:13" ht="16.5" customHeight="1">
      <c r="A34" s="8">
        <v>3263</v>
      </c>
      <c r="B34" s="8" t="s">
        <v>64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20">
        <v>30</v>
      </c>
      <c r="J34" s="8" t="s">
        <v>26</v>
      </c>
      <c r="K34" s="20">
        <v>20</v>
      </c>
      <c r="L34" s="20">
        <v>3</v>
      </c>
      <c r="M34" s="11">
        <v>62</v>
      </c>
    </row>
    <row r="35" spans="1:13" ht="16.5" customHeight="1">
      <c r="A35" s="8">
        <v>3264</v>
      </c>
      <c r="B35" s="8" t="s">
        <v>65</v>
      </c>
      <c r="C35" s="8" t="s">
        <v>33</v>
      </c>
      <c r="D35" s="10">
        <v>45381</v>
      </c>
      <c r="E35" s="8" t="s">
        <v>26</v>
      </c>
      <c r="F35" s="11">
        <v>10</v>
      </c>
      <c r="G35" s="8" t="s">
        <v>34</v>
      </c>
      <c r="H35" s="8" t="s">
        <v>30</v>
      </c>
      <c r="I35" s="20">
        <v>0</v>
      </c>
      <c r="J35" s="8" t="s">
        <v>26</v>
      </c>
      <c r="K35" s="20">
        <v>20</v>
      </c>
      <c r="L35" s="20">
        <v>15</v>
      </c>
      <c r="M35" s="11">
        <v>15</v>
      </c>
    </row>
    <row r="36" spans="1:13" ht="16.5" customHeight="1">
      <c r="A36" s="8">
        <v>3265</v>
      </c>
      <c r="B36" s="8" t="s">
        <v>66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20">
        <v>0</v>
      </c>
      <c r="J36" s="8" t="s">
        <v>30</v>
      </c>
      <c r="K36" s="20">
        <v>0</v>
      </c>
      <c r="L36" s="20">
        <v>1</v>
      </c>
      <c r="M36" s="11">
        <v>4</v>
      </c>
    </row>
    <row r="37" spans="1:13" ht="16.5" customHeight="1">
      <c r="A37" s="8">
        <v>3266</v>
      </c>
      <c r="B37" s="8" t="s">
        <v>67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20">
        <v>0</v>
      </c>
      <c r="J37" s="8" t="s">
        <v>30</v>
      </c>
      <c r="K37" s="20">
        <v>0</v>
      </c>
      <c r="L37" s="20">
        <v>0</v>
      </c>
      <c r="M37" s="11">
        <v>5</v>
      </c>
    </row>
    <row r="38" spans="1:13" ht="16.5" customHeight="1">
      <c r="A38" s="8">
        <v>3267</v>
      </c>
      <c r="B38" s="8" t="s">
        <v>68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34</v>
      </c>
      <c r="H38" s="8" t="s">
        <v>26</v>
      </c>
      <c r="I38" s="20">
        <v>30</v>
      </c>
      <c r="J38" s="8" t="s">
        <v>26</v>
      </c>
      <c r="K38" s="20">
        <v>20</v>
      </c>
      <c r="L38" s="20">
        <v>7</v>
      </c>
      <c r="M38" s="11">
        <v>58</v>
      </c>
    </row>
    <row r="39" spans="1:13" ht="16.5" customHeight="1">
      <c r="A39" s="8">
        <v>3268</v>
      </c>
      <c r="B39" s="8" t="s">
        <v>69</v>
      </c>
      <c r="C39" s="8" t="s">
        <v>33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20">
        <v>0</v>
      </c>
      <c r="J39" s="8" t="s">
        <v>26</v>
      </c>
      <c r="K39" s="20">
        <v>20</v>
      </c>
      <c r="L39" s="20">
        <v>10</v>
      </c>
      <c r="M39" s="11">
        <v>20</v>
      </c>
    </row>
    <row r="40" spans="1:13" ht="16.5" customHeight="1">
      <c r="A40" s="8">
        <v>3269</v>
      </c>
      <c r="B40" s="8" t="s">
        <v>70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34</v>
      </c>
      <c r="H40" s="8" t="s">
        <v>30</v>
      </c>
      <c r="I40" s="20">
        <v>0</v>
      </c>
      <c r="J40" s="8" t="s">
        <v>30</v>
      </c>
      <c r="K40" s="20">
        <v>0</v>
      </c>
      <c r="L40" s="20">
        <v>1</v>
      </c>
      <c r="M40" s="11">
        <v>4</v>
      </c>
    </row>
    <row r="41" spans="1:13" ht="16.5" customHeight="1">
      <c r="A41" s="8">
        <v>3270</v>
      </c>
      <c r="B41" s="8" t="s">
        <v>71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20">
        <v>30</v>
      </c>
      <c r="J41" s="8" t="s">
        <v>26</v>
      </c>
      <c r="K41" s="20">
        <v>20</v>
      </c>
      <c r="L41" s="20">
        <v>15</v>
      </c>
      <c r="M41" s="11">
        <v>50</v>
      </c>
    </row>
    <row r="42" spans="1:13" ht="16.5" customHeight="1">
      <c r="A42" s="8">
        <v>3271</v>
      </c>
      <c r="B42" s="8" t="s">
        <v>72</v>
      </c>
      <c r="C42" s="8" t="s">
        <v>33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20">
        <v>0</v>
      </c>
      <c r="J42" s="8" t="s">
        <v>26</v>
      </c>
      <c r="K42" s="20">
        <v>20</v>
      </c>
      <c r="L42" s="20">
        <v>5</v>
      </c>
      <c r="M42" s="11">
        <v>25</v>
      </c>
    </row>
    <row r="43" spans="1:13" ht="16.5" customHeight="1">
      <c r="A43" s="8">
        <v>3272</v>
      </c>
      <c r="B43" s="8" t="s">
        <v>73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20">
        <v>0</v>
      </c>
      <c r="J43" s="8" t="s">
        <v>30</v>
      </c>
      <c r="K43" s="20">
        <v>0</v>
      </c>
      <c r="L43" s="20">
        <v>0</v>
      </c>
      <c r="M43" s="11">
        <v>5</v>
      </c>
    </row>
    <row r="44" spans="1:13" ht="16.5" customHeight="1">
      <c r="A44" s="8">
        <v>3273</v>
      </c>
      <c r="B44" s="8" t="s">
        <v>74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34</v>
      </c>
      <c r="H44" s="8" t="s">
        <v>26</v>
      </c>
      <c r="I44" s="20">
        <v>30</v>
      </c>
      <c r="J44" s="8" t="s">
        <v>26</v>
      </c>
      <c r="K44" s="20">
        <v>20</v>
      </c>
      <c r="L44" s="20">
        <v>20</v>
      </c>
      <c r="M44" s="11">
        <v>45</v>
      </c>
    </row>
    <row r="45" spans="1:13" ht="16.5" customHeight="1">
      <c r="A45" s="8">
        <v>3274</v>
      </c>
      <c r="B45" s="8" t="s">
        <v>75</v>
      </c>
      <c r="C45" s="8" t="s">
        <v>33</v>
      </c>
      <c r="D45" s="10">
        <v>45391</v>
      </c>
      <c r="E45" s="8" t="s">
        <v>26</v>
      </c>
      <c r="F45" s="11">
        <v>10</v>
      </c>
      <c r="G45" s="8" t="s">
        <v>34</v>
      </c>
      <c r="H45" s="8" t="s">
        <v>30</v>
      </c>
      <c r="I45" s="20">
        <v>0</v>
      </c>
      <c r="J45" s="8" t="s">
        <v>26</v>
      </c>
      <c r="K45" s="20">
        <v>20</v>
      </c>
      <c r="L45" s="20">
        <v>12</v>
      </c>
      <c r="M45" s="11">
        <v>18</v>
      </c>
    </row>
    <row r="46" spans="1:13" ht="16.5" customHeight="1">
      <c r="A46" s="8">
        <v>3275</v>
      </c>
      <c r="B46" s="8" t="s">
        <v>76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20">
        <v>0</v>
      </c>
      <c r="J46" s="8" t="s">
        <v>30</v>
      </c>
      <c r="K46" s="20">
        <v>0</v>
      </c>
      <c r="L46" s="20">
        <v>2</v>
      </c>
      <c r="M46" s="11">
        <v>3</v>
      </c>
    </row>
    <row r="47" spans="1:13" ht="16.5" customHeight="1">
      <c r="A47" s="8">
        <v>3276</v>
      </c>
      <c r="B47" s="8" t="s">
        <v>77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20">
        <v>30</v>
      </c>
      <c r="J47" s="8" t="s">
        <v>26</v>
      </c>
      <c r="K47" s="20">
        <v>20</v>
      </c>
      <c r="L47" s="20">
        <v>5</v>
      </c>
      <c r="M47" s="11">
        <v>60</v>
      </c>
    </row>
    <row r="48" spans="1:13" ht="16.5" customHeight="1">
      <c r="A48" s="8">
        <v>3277</v>
      </c>
      <c r="B48" s="8" t="s">
        <v>78</v>
      </c>
      <c r="C48" s="8" t="s">
        <v>33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20">
        <v>0</v>
      </c>
      <c r="J48" s="8" t="s">
        <v>26</v>
      </c>
      <c r="K48" s="20">
        <v>20</v>
      </c>
      <c r="L48" s="20">
        <v>10</v>
      </c>
      <c r="M48" s="11">
        <v>20</v>
      </c>
    </row>
    <row r="49" spans="1:13" ht="16.5" customHeight="1">
      <c r="A49" s="8">
        <v>3278</v>
      </c>
      <c r="B49" s="8" t="s">
        <v>79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34</v>
      </c>
      <c r="H49" s="8" t="s">
        <v>30</v>
      </c>
      <c r="I49" s="20">
        <v>0</v>
      </c>
      <c r="J49" s="8" t="s">
        <v>30</v>
      </c>
      <c r="K49" s="20">
        <v>0</v>
      </c>
      <c r="L49" s="20">
        <v>0</v>
      </c>
      <c r="M49" s="11">
        <v>5</v>
      </c>
    </row>
    <row r="50" spans="1:13" ht="16.5" customHeight="1">
      <c r="A50" s="8">
        <v>3279</v>
      </c>
      <c r="B50" s="8" t="s">
        <v>80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20">
        <v>30</v>
      </c>
      <c r="J50" s="8" t="s">
        <v>26</v>
      </c>
      <c r="K50" s="20">
        <v>20</v>
      </c>
      <c r="L50" s="20">
        <v>3</v>
      </c>
      <c r="M50" s="11">
        <v>62</v>
      </c>
    </row>
    <row r="51" spans="1:13" ht="16.5" customHeight="1">
      <c r="A51" s="8">
        <v>3280</v>
      </c>
      <c r="B51" s="8" t="s">
        <v>81</v>
      </c>
      <c r="C51" s="8" t="s">
        <v>33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20">
        <v>0</v>
      </c>
      <c r="J51" s="8" t="s">
        <v>26</v>
      </c>
      <c r="K51" s="20">
        <v>20</v>
      </c>
      <c r="L51" s="20">
        <v>15</v>
      </c>
      <c r="M51" s="11">
        <v>15</v>
      </c>
    </row>
    <row r="52" spans="1:13" ht="16.5" customHeight="1">
      <c r="A52" s="8">
        <v>3281</v>
      </c>
      <c r="B52" s="8" t="s">
        <v>82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20">
        <v>0</v>
      </c>
      <c r="J52" s="8" t="s">
        <v>30</v>
      </c>
      <c r="K52" s="20">
        <v>0</v>
      </c>
      <c r="L52" s="20">
        <v>1</v>
      </c>
      <c r="M52" s="11">
        <v>4</v>
      </c>
    </row>
    <row r="53" spans="1:13" ht="16.5" customHeight="1">
      <c r="A53" s="8">
        <v>3282</v>
      </c>
      <c r="B53" s="8" t="s">
        <v>83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34</v>
      </c>
      <c r="H53" s="8" t="s">
        <v>26</v>
      </c>
      <c r="I53" s="20">
        <v>30</v>
      </c>
      <c r="J53" s="8" t="s">
        <v>26</v>
      </c>
      <c r="K53" s="20">
        <v>20</v>
      </c>
      <c r="L53" s="20">
        <v>7</v>
      </c>
      <c r="M53" s="11">
        <v>58</v>
      </c>
    </row>
    <row r="54" spans="1:13" ht="16.5" customHeight="1">
      <c r="A54" s="8">
        <v>3283</v>
      </c>
      <c r="B54" s="8" t="s">
        <v>84</v>
      </c>
      <c r="C54" s="8" t="s">
        <v>33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20">
        <v>0</v>
      </c>
      <c r="J54" s="8" t="s">
        <v>26</v>
      </c>
      <c r="K54" s="20">
        <v>20</v>
      </c>
      <c r="L54" s="20">
        <v>10</v>
      </c>
      <c r="M54" s="11">
        <v>20</v>
      </c>
    </row>
    <row r="55" spans="1:13" ht="16.5" customHeight="1">
      <c r="A55" s="8">
        <v>3284</v>
      </c>
      <c r="B55" s="8" t="s">
        <v>85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20">
        <v>0</v>
      </c>
      <c r="J55" s="8" t="s">
        <v>30</v>
      </c>
      <c r="K55" s="20">
        <v>0</v>
      </c>
      <c r="L55" s="20">
        <v>0</v>
      </c>
      <c r="M55" s="11">
        <v>5</v>
      </c>
    </row>
    <row r="56" spans="1:13" ht="16.5" customHeight="1">
      <c r="A56" s="8">
        <v>3285</v>
      </c>
      <c r="B56" s="8" t="s">
        <v>86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20">
        <v>30</v>
      </c>
      <c r="J56" s="8" t="s">
        <v>26</v>
      </c>
      <c r="K56" s="20">
        <v>20</v>
      </c>
      <c r="L56" s="20">
        <v>20</v>
      </c>
      <c r="M56" s="11">
        <v>45</v>
      </c>
    </row>
    <row r="57" spans="1:13" ht="16.5" customHeight="1">
      <c r="A57" s="8">
        <v>3286</v>
      </c>
      <c r="B57" s="8" t="s">
        <v>87</v>
      </c>
      <c r="C57" s="8" t="s">
        <v>33</v>
      </c>
      <c r="D57" s="10">
        <v>45403</v>
      </c>
      <c r="E57" s="8" t="s">
        <v>26</v>
      </c>
      <c r="F57" s="11">
        <v>10</v>
      </c>
      <c r="G57" s="8" t="s">
        <v>34</v>
      </c>
      <c r="H57" s="8" t="s">
        <v>30</v>
      </c>
      <c r="I57" s="20">
        <v>0</v>
      </c>
      <c r="J57" s="8" t="s">
        <v>26</v>
      </c>
      <c r="K57" s="20">
        <v>20</v>
      </c>
      <c r="L57" s="20">
        <v>15</v>
      </c>
      <c r="M57" s="11">
        <v>15</v>
      </c>
    </row>
    <row r="58" spans="1:13" ht="16.5" customHeight="1">
      <c r="A58" s="8">
        <v>3287</v>
      </c>
      <c r="B58" s="8" t="s">
        <v>88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20">
        <v>0</v>
      </c>
      <c r="J58" s="8" t="s">
        <v>30</v>
      </c>
      <c r="K58" s="20">
        <v>0</v>
      </c>
      <c r="L58" s="20">
        <v>1</v>
      </c>
      <c r="M58" s="11">
        <v>4</v>
      </c>
    </row>
    <row r="59" spans="1:13" ht="16.5" customHeight="1">
      <c r="A59" s="8">
        <v>3288</v>
      </c>
      <c r="B59" s="8" t="s">
        <v>89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20">
        <v>30</v>
      </c>
      <c r="J59" s="8" t="s">
        <v>26</v>
      </c>
      <c r="K59" s="20">
        <v>20</v>
      </c>
      <c r="L59" s="20">
        <v>3</v>
      </c>
      <c r="M59" s="11">
        <v>62</v>
      </c>
    </row>
    <row r="60" spans="1:13" ht="16.5" customHeight="1">
      <c r="A60" s="8">
        <v>3289</v>
      </c>
      <c r="B60" s="8" t="s">
        <v>90</v>
      </c>
      <c r="C60" s="8" t="s">
        <v>33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20">
        <v>0</v>
      </c>
      <c r="J60" s="8" t="s">
        <v>26</v>
      </c>
      <c r="K60" s="20">
        <v>20</v>
      </c>
      <c r="L60" s="20">
        <v>10</v>
      </c>
      <c r="M60" s="11">
        <v>20</v>
      </c>
    </row>
    <row r="61" spans="1:13" ht="16.5" customHeight="1">
      <c r="A61" s="8">
        <v>3290</v>
      </c>
      <c r="B61" s="8" t="s">
        <v>91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34</v>
      </c>
      <c r="H61" s="8" t="s">
        <v>30</v>
      </c>
      <c r="I61" s="20">
        <v>0</v>
      </c>
      <c r="J61" s="8" t="s">
        <v>30</v>
      </c>
      <c r="K61" s="20">
        <v>0</v>
      </c>
      <c r="L61" s="20">
        <v>0</v>
      </c>
      <c r="M61" s="11">
        <v>5</v>
      </c>
    </row>
    <row r="62" spans="1:13" ht="16.5" customHeight="1">
      <c r="A62" s="8">
        <v>3291</v>
      </c>
      <c r="B62" s="8" t="s">
        <v>92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20">
        <v>30</v>
      </c>
      <c r="J62" s="8" t="s">
        <v>26</v>
      </c>
      <c r="K62" s="20">
        <v>20</v>
      </c>
      <c r="L62" s="20">
        <v>5</v>
      </c>
      <c r="M62" s="11">
        <v>60</v>
      </c>
    </row>
    <row r="63" spans="1:13" ht="16.5" customHeight="1">
      <c r="A63" s="8">
        <v>3292</v>
      </c>
      <c r="B63" s="8" t="s">
        <v>93</v>
      </c>
      <c r="C63" s="8" t="s">
        <v>33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20">
        <v>0</v>
      </c>
      <c r="J63" s="8" t="s">
        <v>26</v>
      </c>
      <c r="K63" s="20">
        <v>20</v>
      </c>
      <c r="L63" s="20">
        <v>15</v>
      </c>
      <c r="M63" s="11">
        <v>15</v>
      </c>
    </row>
    <row r="64" spans="1:13" ht="16.5" customHeight="1">
      <c r="A64" s="8">
        <v>3293</v>
      </c>
      <c r="B64" s="8" t="s">
        <v>94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20">
        <v>0</v>
      </c>
      <c r="J64" s="8" t="s">
        <v>30</v>
      </c>
      <c r="K64" s="20">
        <v>0</v>
      </c>
      <c r="L64" s="20">
        <v>1</v>
      </c>
      <c r="M64" s="11">
        <v>4</v>
      </c>
    </row>
    <row r="65" spans="1:13" ht="16.5" customHeight="1">
      <c r="A65" s="8">
        <v>3294</v>
      </c>
      <c r="B65" s="8" t="s">
        <v>95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34</v>
      </c>
      <c r="H65" s="8" t="s">
        <v>26</v>
      </c>
      <c r="I65" s="20">
        <v>30</v>
      </c>
      <c r="J65" s="8" t="s">
        <v>26</v>
      </c>
      <c r="K65" s="20">
        <v>20</v>
      </c>
      <c r="L65" s="20">
        <v>20</v>
      </c>
      <c r="M65" s="11">
        <v>45</v>
      </c>
    </row>
    <row r="66" spans="1:13" ht="16.5" customHeight="1">
      <c r="A66" s="8">
        <v>3295</v>
      </c>
      <c r="B66" s="8" t="s">
        <v>96</v>
      </c>
      <c r="C66" s="8" t="s">
        <v>33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20">
        <v>0</v>
      </c>
      <c r="J66" s="8" t="s">
        <v>26</v>
      </c>
      <c r="K66" s="20">
        <v>20</v>
      </c>
      <c r="L66" s="20">
        <v>5</v>
      </c>
      <c r="M66" s="11">
        <v>25</v>
      </c>
    </row>
    <row r="67" spans="1:13" ht="16.5" customHeight="1">
      <c r="A67" s="8">
        <v>3296</v>
      </c>
      <c r="B67" s="8" t="s">
        <v>97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20">
        <v>0</v>
      </c>
      <c r="J67" s="8" t="s">
        <v>30</v>
      </c>
      <c r="K67" s="20">
        <v>0</v>
      </c>
      <c r="L67" s="20">
        <v>0</v>
      </c>
      <c r="M67" s="11">
        <v>5</v>
      </c>
    </row>
    <row r="68" spans="1:13" ht="16.5" customHeight="1">
      <c r="A68" s="8">
        <v>3297</v>
      </c>
      <c r="B68" s="8" t="s">
        <v>98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34</v>
      </c>
      <c r="H68" s="8" t="s">
        <v>26</v>
      </c>
      <c r="I68" s="20">
        <v>30</v>
      </c>
      <c r="J68" s="8" t="s">
        <v>26</v>
      </c>
      <c r="K68" s="20">
        <v>20</v>
      </c>
      <c r="L68" s="20">
        <v>7</v>
      </c>
      <c r="M68" s="11">
        <v>58</v>
      </c>
    </row>
    <row r="69" spans="1:13" ht="16.5" customHeight="1">
      <c r="A69" s="8">
        <v>3298</v>
      </c>
      <c r="B69" s="8" t="s">
        <v>99</v>
      </c>
      <c r="C69" s="8" t="s">
        <v>33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20">
        <v>0</v>
      </c>
      <c r="J69" s="8" t="s">
        <v>26</v>
      </c>
      <c r="K69" s="20">
        <v>20</v>
      </c>
      <c r="L69" s="20">
        <v>10</v>
      </c>
      <c r="M69" s="11">
        <v>20</v>
      </c>
    </row>
    <row r="70" spans="1:13" ht="16.5" customHeight="1">
      <c r="A70" s="8">
        <v>3299</v>
      </c>
      <c r="B70" s="8" t="s">
        <v>100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34</v>
      </c>
      <c r="H70" s="8" t="s">
        <v>30</v>
      </c>
      <c r="I70" s="20">
        <v>0</v>
      </c>
      <c r="J70" s="8" t="s">
        <v>30</v>
      </c>
      <c r="K70" s="20">
        <v>0</v>
      </c>
      <c r="L70" s="20">
        <v>1</v>
      </c>
      <c r="M70" s="11">
        <v>4</v>
      </c>
    </row>
    <row r="71" spans="1:13" ht="16.5" customHeight="1">
      <c r="A71" s="8">
        <v>3300</v>
      </c>
      <c r="B71" s="8" t="s">
        <v>101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20">
        <v>30</v>
      </c>
      <c r="J71" s="8" t="s">
        <v>26</v>
      </c>
      <c r="K71" s="20">
        <v>20</v>
      </c>
      <c r="L71" s="20">
        <v>15</v>
      </c>
      <c r="M71" s="11">
        <v>50</v>
      </c>
    </row>
    <row r="72" spans="1:13" ht="16.5" customHeight="1">
      <c r="A72" s="8">
        <v>3301</v>
      </c>
      <c r="B72" s="8" t="s">
        <v>102</v>
      </c>
      <c r="C72" s="8" t="s">
        <v>33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20">
        <v>0</v>
      </c>
      <c r="J72" s="8" t="s">
        <v>26</v>
      </c>
      <c r="K72" s="20">
        <v>20</v>
      </c>
      <c r="L72" s="20">
        <v>5</v>
      </c>
      <c r="M72" s="11">
        <v>25</v>
      </c>
    </row>
    <row r="73" spans="1:13" ht="16.5" customHeight="1">
      <c r="A73" s="8">
        <v>3302</v>
      </c>
      <c r="B73" s="8" t="s">
        <v>103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20">
        <v>0</v>
      </c>
      <c r="J73" s="8" t="s">
        <v>30</v>
      </c>
      <c r="K73" s="20">
        <v>0</v>
      </c>
      <c r="L73" s="20">
        <v>0</v>
      </c>
      <c r="M73" s="11">
        <v>5</v>
      </c>
    </row>
    <row r="74" spans="1:13" ht="16.5" customHeight="1">
      <c r="A74" s="8">
        <v>3303</v>
      </c>
      <c r="B74" s="8" t="s">
        <v>104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34</v>
      </c>
      <c r="H74" s="8" t="s">
        <v>26</v>
      </c>
      <c r="I74" s="20">
        <v>30</v>
      </c>
      <c r="J74" s="8" t="s">
        <v>26</v>
      </c>
      <c r="K74" s="20">
        <v>20</v>
      </c>
      <c r="L74" s="20">
        <v>20</v>
      </c>
      <c r="M74" s="11">
        <v>45</v>
      </c>
    </row>
    <row r="75" spans="1:13" ht="16.5" customHeight="1">
      <c r="A75" s="8">
        <v>3304</v>
      </c>
      <c r="B75" s="8" t="s">
        <v>105</v>
      </c>
      <c r="C75" s="8" t="s">
        <v>33</v>
      </c>
      <c r="D75" s="10">
        <v>45421</v>
      </c>
      <c r="E75" s="8" t="s">
        <v>30</v>
      </c>
      <c r="F75" s="11">
        <v>10</v>
      </c>
      <c r="G75" s="8" t="s">
        <v>34</v>
      </c>
      <c r="H75" s="8" t="s">
        <v>30</v>
      </c>
      <c r="I75" s="20">
        <v>0</v>
      </c>
      <c r="J75" s="8" t="s">
        <v>26</v>
      </c>
      <c r="K75" s="20">
        <v>20</v>
      </c>
      <c r="L75" s="20">
        <v>12</v>
      </c>
      <c r="M75" s="11">
        <v>18</v>
      </c>
    </row>
    <row r="76" spans="1:13" ht="16.5" customHeight="1">
      <c r="A76" s="8">
        <v>3305</v>
      </c>
      <c r="B76" s="8" t="s">
        <v>106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20">
        <v>0</v>
      </c>
      <c r="J76" s="8" t="s">
        <v>30</v>
      </c>
      <c r="K76" s="20">
        <v>0</v>
      </c>
      <c r="L76" s="20">
        <v>2</v>
      </c>
      <c r="M76" s="11">
        <v>3</v>
      </c>
    </row>
    <row r="77" spans="1:13" ht="16.5" customHeight="1">
      <c r="A77" s="8">
        <v>3306</v>
      </c>
      <c r="B77" s="8" t="s">
        <v>107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20">
        <v>30</v>
      </c>
      <c r="J77" s="8" t="s">
        <v>26</v>
      </c>
      <c r="K77" s="20">
        <v>20</v>
      </c>
      <c r="L77" s="20">
        <v>5</v>
      </c>
      <c r="M77" s="11">
        <v>60</v>
      </c>
    </row>
    <row r="78" spans="1:13" ht="16.5" customHeight="1">
      <c r="A78" s="8">
        <v>3307</v>
      </c>
      <c r="B78" s="8" t="s">
        <v>108</v>
      </c>
      <c r="C78" s="8" t="s">
        <v>33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20">
        <v>0</v>
      </c>
      <c r="J78" s="8" t="s">
        <v>26</v>
      </c>
      <c r="K78" s="20">
        <v>20</v>
      </c>
      <c r="L78" s="20">
        <v>10</v>
      </c>
      <c r="M78" s="11">
        <v>20</v>
      </c>
    </row>
    <row r="79" spans="1:13" ht="16.5" customHeight="1">
      <c r="A79" s="8">
        <v>3308</v>
      </c>
      <c r="B79" s="8" t="s">
        <v>109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34</v>
      </c>
      <c r="H79" s="8" t="s">
        <v>30</v>
      </c>
      <c r="I79" s="20">
        <v>0</v>
      </c>
      <c r="J79" s="8" t="s">
        <v>30</v>
      </c>
      <c r="K79" s="20">
        <v>0</v>
      </c>
      <c r="L79" s="20">
        <v>0</v>
      </c>
      <c r="M79" s="11">
        <v>5</v>
      </c>
    </row>
    <row r="80" spans="1:13" ht="16.5" customHeight="1">
      <c r="A80" s="8">
        <v>3309</v>
      </c>
      <c r="B80" s="8" t="s">
        <v>110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20">
        <v>30</v>
      </c>
      <c r="J80" s="8" t="s">
        <v>26</v>
      </c>
      <c r="K80" s="20">
        <v>20</v>
      </c>
      <c r="L80" s="20">
        <v>3</v>
      </c>
      <c r="M80" s="11">
        <v>62</v>
      </c>
    </row>
    <row r="81" spans="1:13" ht="16.5" customHeight="1">
      <c r="A81" s="8">
        <v>3310</v>
      </c>
      <c r="B81" s="8" t="s">
        <v>111</v>
      </c>
      <c r="C81" s="8" t="s">
        <v>33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20">
        <v>0</v>
      </c>
      <c r="J81" s="8" t="s">
        <v>26</v>
      </c>
      <c r="K81" s="20">
        <v>20</v>
      </c>
      <c r="L81" s="20">
        <v>15</v>
      </c>
      <c r="M81" s="11">
        <v>15</v>
      </c>
    </row>
    <row r="82" spans="1:13" ht="16.5" customHeight="1">
      <c r="A82" s="8">
        <v>3311</v>
      </c>
      <c r="B82" s="8" t="s">
        <v>112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20">
        <v>0</v>
      </c>
      <c r="J82" s="8" t="s">
        <v>30</v>
      </c>
      <c r="K82" s="20">
        <v>0</v>
      </c>
      <c r="L82" s="20">
        <v>1</v>
      </c>
      <c r="M82" s="11">
        <v>4</v>
      </c>
    </row>
    <row r="83" spans="1:13" ht="16.5" customHeight="1">
      <c r="A83" s="8">
        <v>3312</v>
      </c>
      <c r="B83" s="8" t="s">
        <v>113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34</v>
      </c>
      <c r="H83" s="8" t="s">
        <v>26</v>
      </c>
      <c r="I83" s="20">
        <v>30</v>
      </c>
      <c r="J83" s="8" t="s">
        <v>26</v>
      </c>
      <c r="K83" s="20">
        <v>20</v>
      </c>
      <c r="L83" s="20">
        <v>7</v>
      </c>
      <c r="M83" s="11">
        <v>58</v>
      </c>
    </row>
    <row r="84" spans="1:13" ht="16.5" customHeight="1">
      <c r="A84" s="8">
        <v>3313</v>
      </c>
      <c r="B84" s="8" t="s">
        <v>114</v>
      </c>
      <c r="C84" s="8" t="s">
        <v>33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20">
        <v>0</v>
      </c>
      <c r="J84" s="8" t="s">
        <v>26</v>
      </c>
      <c r="K84" s="20">
        <v>20</v>
      </c>
      <c r="L84" s="20">
        <v>10</v>
      </c>
      <c r="M84" s="11">
        <v>20</v>
      </c>
    </row>
    <row r="85" spans="1:13" ht="16.5" customHeight="1">
      <c r="A85" s="8">
        <v>3314</v>
      </c>
      <c r="B85" s="8" t="s">
        <v>115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20">
        <v>0</v>
      </c>
      <c r="J85" s="8" t="s">
        <v>30</v>
      </c>
      <c r="K85" s="20">
        <v>0</v>
      </c>
      <c r="L85" s="20">
        <v>0</v>
      </c>
      <c r="M85" s="11">
        <v>5</v>
      </c>
    </row>
    <row r="86" spans="1:13" ht="16.5" customHeight="1">
      <c r="A86" s="8">
        <v>3315</v>
      </c>
      <c r="B86" s="8" t="s">
        <v>116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20">
        <v>30</v>
      </c>
      <c r="J86" s="8" t="s">
        <v>26</v>
      </c>
      <c r="K86" s="20">
        <v>20</v>
      </c>
      <c r="L86" s="20">
        <v>20</v>
      </c>
      <c r="M86" s="11">
        <v>45</v>
      </c>
    </row>
    <row r="87" spans="1:13" ht="16.5" customHeight="1">
      <c r="A87" s="8">
        <v>3316</v>
      </c>
      <c r="B87" s="8" t="s">
        <v>117</v>
      </c>
      <c r="C87" s="8" t="s">
        <v>33</v>
      </c>
      <c r="D87" s="10">
        <v>45433</v>
      </c>
      <c r="E87" s="8" t="s">
        <v>30</v>
      </c>
      <c r="F87" s="11">
        <v>10</v>
      </c>
      <c r="G87" s="8" t="s">
        <v>34</v>
      </c>
      <c r="H87" s="8" t="s">
        <v>30</v>
      </c>
      <c r="I87" s="20">
        <v>0</v>
      </c>
      <c r="J87" s="8" t="s">
        <v>26</v>
      </c>
      <c r="K87" s="20">
        <v>20</v>
      </c>
      <c r="L87" s="20">
        <v>15</v>
      </c>
      <c r="M87" s="11">
        <v>15</v>
      </c>
    </row>
    <row r="88" spans="1:13" ht="16.5" customHeight="1">
      <c r="A88" s="8">
        <v>3317</v>
      </c>
      <c r="B88" s="8" t="s">
        <v>118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20">
        <v>0</v>
      </c>
      <c r="J88" s="8" t="s">
        <v>30</v>
      </c>
      <c r="K88" s="20">
        <v>0</v>
      </c>
      <c r="L88" s="20">
        <v>1</v>
      </c>
      <c r="M88" s="11">
        <v>4</v>
      </c>
    </row>
    <row r="89" spans="1:13" ht="16.5" customHeight="1">
      <c r="A89" s="8">
        <v>3318</v>
      </c>
      <c r="B89" s="8" t="s">
        <v>119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20">
        <v>30</v>
      </c>
      <c r="J89" s="8" t="s">
        <v>26</v>
      </c>
      <c r="K89" s="20">
        <v>20</v>
      </c>
      <c r="L89" s="20">
        <v>3</v>
      </c>
      <c r="M89" s="11">
        <v>62</v>
      </c>
    </row>
    <row r="90" spans="1:13" ht="16.5" customHeight="1">
      <c r="A90" s="8">
        <v>3319</v>
      </c>
      <c r="B90" s="8" t="s">
        <v>120</v>
      </c>
      <c r="C90" s="8" t="s">
        <v>33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20">
        <v>0</v>
      </c>
      <c r="J90" s="8" t="s">
        <v>26</v>
      </c>
      <c r="K90" s="20">
        <v>20</v>
      </c>
      <c r="L90" s="20">
        <v>10</v>
      </c>
      <c r="M90" s="11">
        <v>20</v>
      </c>
    </row>
    <row r="91" spans="1:13" ht="16.5" customHeight="1">
      <c r="A91" s="8">
        <v>3320</v>
      </c>
      <c r="B91" s="8" t="s">
        <v>121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34</v>
      </c>
      <c r="H91" s="8" t="s">
        <v>30</v>
      </c>
      <c r="I91" s="20">
        <v>0</v>
      </c>
      <c r="J91" s="8" t="s">
        <v>30</v>
      </c>
      <c r="K91" s="20">
        <v>0</v>
      </c>
      <c r="L91" s="20">
        <v>0</v>
      </c>
      <c r="M91" s="11">
        <v>5</v>
      </c>
    </row>
    <row r="92" spans="1:13" ht="16.5" customHeight="1">
      <c r="A92" s="8">
        <v>3321</v>
      </c>
      <c r="B92" s="8" t="s">
        <v>122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20">
        <v>30</v>
      </c>
      <c r="J92" s="8" t="s">
        <v>26</v>
      </c>
      <c r="K92" s="20">
        <v>20</v>
      </c>
      <c r="L92" s="20">
        <v>5</v>
      </c>
      <c r="M92" s="11">
        <v>60</v>
      </c>
    </row>
    <row r="93" spans="1:13" ht="16.5" customHeight="1">
      <c r="A93" s="8">
        <v>3322</v>
      </c>
      <c r="B93" s="8" t="s">
        <v>123</v>
      </c>
      <c r="C93" s="8" t="s">
        <v>33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20">
        <v>0</v>
      </c>
      <c r="J93" s="8" t="s">
        <v>26</v>
      </c>
      <c r="K93" s="20">
        <v>20</v>
      </c>
      <c r="L93" s="20">
        <v>15</v>
      </c>
      <c r="M93" s="11">
        <v>15</v>
      </c>
    </row>
    <row r="94" spans="1:13" ht="16.5" customHeight="1">
      <c r="A94" s="8">
        <v>3323</v>
      </c>
      <c r="B94" s="8" t="s">
        <v>124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20">
        <v>0</v>
      </c>
      <c r="J94" s="8" t="s">
        <v>30</v>
      </c>
      <c r="K94" s="20">
        <v>0</v>
      </c>
      <c r="L94" s="20">
        <v>1</v>
      </c>
      <c r="M94" s="11">
        <v>4</v>
      </c>
    </row>
    <row r="95" spans="1:13" ht="16.5" customHeight="1">
      <c r="A95" s="8">
        <v>3324</v>
      </c>
      <c r="B95" s="8" t="s">
        <v>125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34</v>
      </c>
      <c r="H95" s="8" t="s">
        <v>26</v>
      </c>
      <c r="I95" s="20">
        <v>30</v>
      </c>
      <c r="J95" s="8" t="s">
        <v>26</v>
      </c>
      <c r="K95" s="20">
        <v>20</v>
      </c>
      <c r="L95" s="20">
        <v>20</v>
      </c>
      <c r="M95" s="11">
        <v>45</v>
      </c>
    </row>
    <row r="96" spans="1:13" ht="16.5" customHeight="1">
      <c r="A96" s="8">
        <v>3325</v>
      </c>
      <c r="B96" s="8" t="s">
        <v>126</v>
      </c>
      <c r="C96" s="8" t="s">
        <v>33</v>
      </c>
      <c r="D96" s="10">
        <v>45442</v>
      </c>
      <c r="E96" s="8" t="s">
        <v>26</v>
      </c>
      <c r="F96" s="11">
        <v>10</v>
      </c>
      <c r="G96" s="8" t="s">
        <v>34</v>
      </c>
      <c r="H96" s="8" t="s">
        <v>30</v>
      </c>
      <c r="I96" s="20">
        <v>0</v>
      </c>
      <c r="J96" s="8" t="s">
        <v>26</v>
      </c>
      <c r="K96" s="20">
        <v>20</v>
      </c>
      <c r="L96" s="20">
        <v>15</v>
      </c>
      <c r="M96" s="11">
        <v>15</v>
      </c>
    </row>
    <row r="97" spans="1:13" ht="16.5" customHeight="1">
      <c r="A97" s="8">
        <v>3326</v>
      </c>
      <c r="B97" s="8" t="s">
        <v>127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20">
        <v>0</v>
      </c>
      <c r="J97" s="8" t="s">
        <v>30</v>
      </c>
      <c r="K97" s="20">
        <v>0</v>
      </c>
      <c r="L97" s="20">
        <v>0</v>
      </c>
      <c r="M97" s="11">
        <v>5</v>
      </c>
    </row>
    <row r="98" spans="1:13" ht="16.5" customHeight="1">
      <c r="A98" s="8">
        <v>3327</v>
      </c>
      <c r="B98" s="8" t="s">
        <v>128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20">
        <v>30</v>
      </c>
      <c r="J98" s="8" t="s">
        <v>26</v>
      </c>
      <c r="K98" s="20">
        <v>20</v>
      </c>
      <c r="L98" s="20">
        <v>7</v>
      </c>
      <c r="M98" s="11">
        <v>58</v>
      </c>
    </row>
    <row r="99" spans="1:13" ht="16.5" customHeight="1">
      <c r="A99" s="8">
        <v>3328</v>
      </c>
      <c r="B99" s="8" t="s">
        <v>129</v>
      </c>
      <c r="C99" s="8" t="s">
        <v>33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20">
        <v>0</v>
      </c>
      <c r="J99" s="8" t="s">
        <v>26</v>
      </c>
      <c r="K99" s="20">
        <v>20</v>
      </c>
      <c r="L99" s="20">
        <v>10</v>
      </c>
      <c r="M99" s="11">
        <v>20</v>
      </c>
    </row>
    <row r="100" spans="1:13" ht="16.5" customHeight="1">
      <c r="A100" s="8">
        <v>3329</v>
      </c>
      <c r="B100" s="8" t="s">
        <v>130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34</v>
      </c>
      <c r="H100" s="8" t="s">
        <v>30</v>
      </c>
      <c r="I100" s="20">
        <v>0</v>
      </c>
      <c r="J100" s="8" t="s">
        <v>30</v>
      </c>
      <c r="K100" s="20">
        <v>0</v>
      </c>
      <c r="L100" s="20">
        <v>1</v>
      </c>
      <c r="M100" s="11">
        <v>4</v>
      </c>
    </row>
    <row r="101" spans="1:13" ht="16.5" customHeight="1">
      <c r="A101" s="8">
        <v>3330</v>
      </c>
      <c r="B101" s="8" t="s">
        <v>131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20">
        <v>30</v>
      </c>
      <c r="J101" s="8" t="s">
        <v>26</v>
      </c>
      <c r="K101" s="20">
        <v>20</v>
      </c>
      <c r="L101" s="20">
        <v>15</v>
      </c>
      <c r="M101" s="11">
        <v>50</v>
      </c>
    </row>
    <row r="102" spans="1:13" ht="16.5" customHeight="1">
      <c r="A102" s="8">
        <v>3331</v>
      </c>
      <c r="B102" s="8" t="s">
        <v>132</v>
      </c>
      <c r="C102" s="8" t="s">
        <v>33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20">
        <v>0</v>
      </c>
      <c r="J102" s="8" t="s">
        <v>26</v>
      </c>
      <c r="K102" s="20">
        <v>20</v>
      </c>
      <c r="L102" s="20">
        <v>5</v>
      </c>
      <c r="M102" s="11">
        <v>25</v>
      </c>
    </row>
    <row r="103" spans="1:13" ht="16.5" customHeight="1">
      <c r="A103" s="8">
        <v>3332</v>
      </c>
      <c r="B103" s="8" t="s">
        <v>133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20">
        <v>0</v>
      </c>
      <c r="J103" s="8" t="s">
        <v>30</v>
      </c>
      <c r="K103" s="20">
        <v>0</v>
      </c>
      <c r="L103" s="20">
        <v>0</v>
      </c>
      <c r="M103" s="11">
        <v>5</v>
      </c>
    </row>
    <row r="104" spans="1:13" ht="16.5" customHeight="1">
      <c r="A104" s="8">
        <v>3333</v>
      </c>
      <c r="B104" s="8" t="s">
        <v>134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34</v>
      </c>
      <c r="H104" s="8" t="s">
        <v>26</v>
      </c>
      <c r="I104" s="20">
        <v>30</v>
      </c>
      <c r="J104" s="8" t="s">
        <v>26</v>
      </c>
      <c r="K104" s="20">
        <v>20</v>
      </c>
      <c r="L104" s="20">
        <v>20</v>
      </c>
      <c r="M104" s="11">
        <v>45</v>
      </c>
    </row>
    <row r="105" spans="1:13" ht="16.5" customHeight="1">
      <c r="A105" s="8">
        <v>3334</v>
      </c>
      <c r="B105" s="8" t="s">
        <v>135</v>
      </c>
      <c r="C105" s="8" t="s">
        <v>33</v>
      </c>
      <c r="D105" s="10">
        <v>45451</v>
      </c>
      <c r="E105" s="8" t="s">
        <v>30</v>
      </c>
      <c r="F105" s="11">
        <v>10</v>
      </c>
      <c r="G105" s="8" t="s">
        <v>34</v>
      </c>
      <c r="H105" s="8" t="s">
        <v>30</v>
      </c>
      <c r="I105" s="20">
        <v>0</v>
      </c>
      <c r="J105" s="8" t="s">
        <v>26</v>
      </c>
      <c r="K105" s="20">
        <v>20</v>
      </c>
      <c r="L105" s="20">
        <v>12</v>
      </c>
      <c r="M105" s="11">
        <v>18</v>
      </c>
    </row>
    <row r="106" spans="1:13" ht="16.5" customHeight="1">
      <c r="A106" s="8">
        <v>3335</v>
      </c>
      <c r="B106" s="8" t="s">
        <v>136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20">
        <v>0</v>
      </c>
      <c r="J106" s="8" t="s">
        <v>30</v>
      </c>
      <c r="K106" s="20">
        <v>0</v>
      </c>
      <c r="L106" s="20">
        <v>2</v>
      </c>
      <c r="M106" s="11">
        <v>3</v>
      </c>
    </row>
    <row r="107" spans="1:13" ht="16.5" customHeight="1">
      <c r="A107" s="8">
        <v>3336</v>
      </c>
      <c r="B107" s="8" t="s">
        <v>137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20">
        <v>0</v>
      </c>
      <c r="J107" s="8" t="s">
        <v>30</v>
      </c>
      <c r="K107" s="20">
        <v>0</v>
      </c>
      <c r="L107" s="20">
        <v>0</v>
      </c>
      <c r="M107" s="11">
        <v>5</v>
      </c>
    </row>
    <row r="108" spans="1:13" ht="16.5" customHeight="1">
      <c r="A108" s="8">
        <v>3337</v>
      </c>
      <c r="B108" s="8" t="s">
        <v>138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34</v>
      </c>
      <c r="H108" s="8" t="s">
        <v>26</v>
      </c>
      <c r="I108" s="20">
        <v>30</v>
      </c>
      <c r="J108" s="8" t="s">
        <v>26</v>
      </c>
      <c r="K108" s="20">
        <v>20</v>
      </c>
      <c r="L108" s="20">
        <v>7</v>
      </c>
      <c r="M108" s="11">
        <v>58</v>
      </c>
    </row>
    <row r="109" spans="1:13" ht="16.5" customHeight="1">
      <c r="A109" s="8">
        <v>3338</v>
      </c>
      <c r="B109" s="8" t="s">
        <v>139</v>
      </c>
      <c r="C109" s="8" t="s">
        <v>33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20">
        <v>0</v>
      </c>
      <c r="J109" s="8" t="s">
        <v>26</v>
      </c>
      <c r="K109" s="20">
        <v>20</v>
      </c>
      <c r="L109" s="20">
        <v>10</v>
      </c>
      <c r="M109" s="11">
        <v>20</v>
      </c>
    </row>
    <row r="110" spans="1:13" ht="16.5" customHeight="1">
      <c r="A110" s="8">
        <v>3339</v>
      </c>
      <c r="B110" s="8" t="s">
        <v>140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34</v>
      </c>
      <c r="H110" s="8" t="s">
        <v>30</v>
      </c>
      <c r="I110" s="20">
        <v>0</v>
      </c>
      <c r="J110" s="8" t="s">
        <v>30</v>
      </c>
      <c r="K110" s="20">
        <v>0</v>
      </c>
      <c r="L110" s="20">
        <v>1</v>
      </c>
      <c r="M110" s="11">
        <v>4</v>
      </c>
    </row>
    <row r="111" spans="1:13" ht="16.5" customHeight="1">
      <c r="A111" s="8">
        <v>3340</v>
      </c>
      <c r="B111" s="8" t="s">
        <v>141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20">
        <v>30</v>
      </c>
      <c r="J111" s="8" t="s">
        <v>26</v>
      </c>
      <c r="K111" s="20">
        <v>20</v>
      </c>
      <c r="L111" s="20">
        <v>15</v>
      </c>
      <c r="M111" s="11">
        <v>50</v>
      </c>
    </row>
    <row r="112" spans="1:13" ht="16.5" customHeight="1">
      <c r="A112" s="8">
        <v>3341</v>
      </c>
      <c r="B112" s="8" t="s">
        <v>142</v>
      </c>
      <c r="C112" s="8" t="s">
        <v>33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20">
        <v>0</v>
      </c>
      <c r="J112" s="8" t="s">
        <v>26</v>
      </c>
      <c r="K112" s="20">
        <v>20</v>
      </c>
      <c r="L112" s="20">
        <v>5</v>
      </c>
      <c r="M112" s="11">
        <v>25</v>
      </c>
    </row>
    <row r="113" spans="1:13" ht="16.5" customHeight="1">
      <c r="A113" s="8">
        <v>3342</v>
      </c>
      <c r="B113" s="8" t="s">
        <v>143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20">
        <v>0</v>
      </c>
      <c r="J113" s="8" t="s">
        <v>30</v>
      </c>
      <c r="K113" s="20">
        <v>0</v>
      </c>
      <c r="L113" s="20">
        <v>0</v>
      </c>
      <c r="M113" s="11">
        <v>5</v>
      </c>
    </row>
    <row r="114" spans="1:13" ht="16.5" customHeight="1">
      <c r="A114" s="8">
        <v>3343</v>
      </c>
      <c r="B114" s="8" t="s">
        <v>144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34</v>
      </c>
      <c r="H114" s="8" t="s">
        <v>26</v>
      </c>
      <c r="I114" s="20">
        <v>30</v>
      </c>
      <c r="J114" s="8" t="s">
        <v>26</v>
      </c>
      <c r="K114" s="20">
        <v>20</v>
      </c>
      <c r="L114" s="20">
        <v>20</v>
      </c>
      <c r="M114" s="11">
        <v>45</v>
      </c>
    </row>
    <row r="115" spans="1:13" ht="16.5" customHeight="1">
      <c r="A115" s="8">
        <v>3344</v>
      </c>
      <c r="B115" s="8" t="s">
        <v>145</v>
      </c>
      <c r="C115" s="8" t="s">
        <v>33</v>
      </c>
      <c r="D115" s="10">
        <v>45461</v>
      </c>
      <c r="E115" s="8" t="s">
        <v>26</v>
      </c>
      <c r="F115" s="11">
        <v>10</v>
      </c>
      <c r="G115" s="8" t="s">
        <v>34</v>
      </c>
      <c r="H115" s="8" t="s">
        <v>30</v>
      </c>
      <c r="I115" s="20">
        <v>0</v>
      </c>
      <c r="J115" s="8" t="s">
        <v>26</v>
      </c>
      <c r="K115" s="20">
        <v>20</v>
      </c>
      <c r="L115" s="20">
        <v>12</v>
      </c>
      <c r="M115" s="11">
        <v>18</v>
      </c>
    </row>
    <row r="116" spans="1:13" ht="16.5" customHeight="1">
      <c r="A116" s="8">
        <v>3345</v>
      </c>
      <c r="B116" s="8" t="s">
        <v>146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20">
        <v>0</v>
      </c>
      <c r="J116" s="8" t="s">
        <v>30</v>
      </c>
      <c r="K116" s="20">
        <v>0</v>
      </c>
      <c r="L116" s="20">
        <v>2</v>
      </c>
      <c r="M116" s="11">
        <v>3</v>
      </c>
    </row>
    <row r="117" spans="1:13" ht="16.5" customHeight="1">
      <c r="A117" s="8">
        <v>3346</v>
      </c>
      <c r="B117" s="8" t="s">
        <v>147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20">
        <v>30</v>
      </c>
      <c r="J117" s="8" t="s">
        <v>26</v>
      </c>
      <c r="K117" s="20">
        <v>20</v>
      </c>
      <c r="L117" s="20">
        <v>5</v>
      </c>
      <c r="M117" s="11">
        <v>60</v>
      </c>
    </row>
    <row r="118" spans="1:13" ht="16.5" customHeight="1">
      <c r="A118" s="8">
        <v>3347</v>
      </c>
      <c r="B118" s="8" t="s">
        <v>148</v>
      </c>
      <c r="C118" s="8" t="s">
        <v>33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20">
        <v>0</v>
      </c>
      <c r="J118" s="8" t="s">
        <v>26</v>
      </c>
      <c r="K118" s="20">
        <v>20</v>
      </c>
      <c r="L118" s="20">
        <v>10</v>
      </c>
      <c r="M118" s="11">
        <v>20</v>
      </c>
    </row>
    <row r="119" spans="1:13" ht="16.5" customHeight="1">
      <c r="A119" s="8">
        <v>3348</v>
      </c>
      <c r="B119" s="8" t="s">
        <v>149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34</v>
      </c>
      <c r="H119" s="8" t="s">
        <v>30</v>
      </c>
      <c r="I119" s="20">
        <v>0</v>
      </c>
      <c r="J119" s="8" t="s">
        <v>30</v>
      </c>
      <c r="K119" s="20">
        <v>0</v>
      </c>
      <c r="L119" s="20">
        <v>0</v>
      </c>
      <c r="M119" s="11">
        <v>5</v>
      </c>
    </row>
    <row r="120" spans="1:13" ht="16.5" customHeight="1">
      <c r="A120" s="8">
        <v>3349</v>
      </c>
      <c r="B120" s="8" t="s">
        <v>125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20">
        <v>30</v>
      </c>
      <c r="J120" s="8" t="s">
        <v>26</v>
      </c>
      <c r="K120" s="20">
        <v>20</v>
      </c>
      <c r="L120" s="20">
        <v>3</v>
      </c>
      <c r="M120" s="11">
        <v>62</v>
      </c>
    </row>
    <row r="121" spans="1:13" ht="16.5" customHeight="1">
      <c r="A121" s="8">
        <v>3350</v>
      </c>
      <c r="B121" s="8" t="s">
        <v>150</v>
      </c>
      <c r="C121" s="8" t="s">
        <v>33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20">
        <v>0</v>
      </c>
      <c r="J121" s="8" t="s">
        <v>26</v>
      </c>
      <c r="K121" s="20">
        <v>20</v>
      </c>
      <c r="L121" s="20">
        <v>15</v>
      </c>
      <c r="M121" s="11">
        <v>15</v>
      </c>
    </row>
    <row r="122" spans="1:13" ht="16.5" customHeight="1">
      <c r="A122" s="8">
        <v>3351</v>
      </c>
      <c r="B122" s="8" t="s">
        <v>151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20">
        <v>0</v>
      </c>
      <c r="J122" s="8" t="s">
        <v>30</v>
      </c>
      <c r="K122" s="20">
        <v>0</v>
      </c>
      <c r="L122" s="20">
        <v>1</v>
      </c>
      <c r="M122" s="11">
        <v>4</v>
      </c>
    </row>
    <row r="123" spans="1:13" ht="16.5" customHeight="1">
      <c r="A123" s="8">
        <v>3352</v>
      </c>
      <c r="B123" s="8" t="s">
        <v>152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34</v>
      </c>
      <c r="H123" s="8" t="s">
        <v>26</v>
      </c>
      <c r="I123" s="20">
        <v>30</v>
      </c>
      <c r="J123" s="8" t="s">
        <v>26</v>
      </c>
      <c r="K123" s="20">
        <v>20</v>
      </c>
      <c r="L123" s="20">
        <v>7</v>
      </c>
      <c r="M123" s="11">
        <v>58</v>
      </c>
    </row>
    <row r="124" spans="1:13" ht="16.5" customHeight="1">
      <c r="A124" s="8">
        <v>3353</v>
      </c>
      <c r="B124" s="8" t="s">
        <v>153</v>
      </c>
      <c r="C124" s="8" t="s">
        <v>33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20">
        <v>0</v>
      </c>
      <c r="J124" s="8" t="s">
        <v>26</v>
      </c>
      <c r="K124" s="20">
        <v>20</v>
      </c>
      <c r="L124" s="20">
        <v>10</v>
      </c>
      <c r="M124" s="11">
        <v>20</v>
      </c>
    </row>
    <row r="125" spans="1:13" ht="16.5" customHeight="1">
      <c r="A125" s="8">
        <v>3354</v>
      </c>
      <c r="B125" s="8" t="s">
        <v>154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20">
        <v>0</v>
      </c>
      <c r="J125" s="8" t="s">
        <v>30</v>
      </c>
      <c r="K125" s="20">
        <v>0</v>
      </c>
      <c r="L125" s="20">
        <v>0</v>
      </c>
      <c r="M125" s="11">
        <v>5</v>
      </c>
    </row>
    <row r="126" spans="1:13" ht="16.5" customHeight="1">
      <c r="A126" s="8">
        <v>3355</v>
      </c>
      <c r="B126" s="8" t="s">
        <v>155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20">
        <v>30</v>
      </c>
      <c r="J126" s="8" t="s">
        <v>26</v>
      </c>
      <c r="K126" s="20">
        <v>20</v>
      </c>
      <c r="L126" s="20">
        <v>20</v>
      </c>
      <c r="M126" s="11">
        <v>45</v>
      </c>
    </row>
    <row r="127" spans="1:13" ht="16.5" customHeight="1">
      <c r="A127" s="8">
        <v>3356</v>
      </c>
      <c r="B127" s="8" t="s">
        <v>156</v>
      </c>
      <c r="C127" s="8" t="s">
        <v>33</v>
      </c>
      <c r="D127" s="10">
        <v>45473</v>
      </c>
      <c r="E127" s="8" t="s">
        <v>26</v>
      </c>
      <c r="F127" s="11">
        <v>10</v>
      </c>
      <c r="G127" s="8" t="s">
        <v>34</v>
      </c>
      <c r="H127" s="8" t="s">
        <v>30</v>
      </c>
      <c r="I127" s="20">
        <v>0</v>
      </c>
      <c r="J127" s="8" t="s">
        <v>26</v>
      </c>
      <c r="K127" s="20">
        <v>20</v>
      </c>
      <c r="L127" s="20">
        <v>15</v>
      </c>
      <c r="M127" s="11">
        <v>15</v>
      </c>
    </row>
    <row r="128" spans="1:13" ht="16.5" customHeight="1">
      <c r="A128" s="8">
        <v>3357</v>
      </c>
      <c r="B128" s="8" t="s">
        <v>157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20">
        <v>0</v>
      </c>
      <c r="J128" s="8" t="s">
        <v>30</v>
      </c>
      <c r="K128" s="20">
        <v>0</v>
      </c>
      <c r="L128" s="20">
        <v>1</v>
      </c>
      <c r="M128" s="11">
        <v>4</v>
      </c>
    </row>
    <row r="129" spans="1:13" ht="16.5" customHeight="1">
      <c r="A129" s="8">
        <v>3358</v>
      </c>
      <c r="B129" s="8" t="s">
        <v>158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20">
        <v>30</v>
      </c>
      <c r="J129" s="8" t="s">
        <v>26</v>
      </c>
      <c r="K129" s="20">
        <v>20</v>
      </c>
      <c r="L129" s="20">
        <v>3</v>
      </c>
      <c r="M129" s="11">
        <v>62</v>
      </c>
    </row>
    <row r="130" spans="1:13" ht="16.5" customHeight="1">
      <c r="A130" s="8">
        <v>3359</v>
      </c>
      <c r="B130" s="8" t="s">
        <v>159</v>
      </c>
      <c r="C130" s="8" t="s">
        <v>33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20">
        <v>0</v>
      </c>
      <c r="J130" s="8" t="s">
        <v>26</v>
      </c>
      <c r="K130" s="20">
        <v>20</v>
      </c>
      <c r="L130" s="20">
        <v>10</v>
      </c>
      <c r="M130" s="11">
        <v>20</v>
      </c>
    </row>
    <row r="131" spans="1:13" ht="16.5" customHeight="1">
      <c r="A131" s="8">
        <v>3360</v>
      </c>
      <c r="B131" s="8" t="s">
        <v>160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34</v>
      </c>
      <c r="H131" s="8" t="s">
        <v>30</v>
      </c>
      <c r="I131" s="20">
        <v>0</v>
      </c>
      <c r="J131" s="8" t="s">
        <v>30</v>
      </c>
      <c r="K131" s="20">
        <v>0</v>
      </c>
      <c r="L131" s="20">
        <v>0</v>
      </c>
      <c r="M131" s="11">
        <v>5</v>
      </c>
    </row>
    <row r="132" spans="1:13" ht="16.5" customHeight="1">
      <c r="A132" s="8">
        <v>3361</v>
      </c>
      <c r="B132" s="8" t="s">
        <v>161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20">
        <v>30</v>
      </c>
      <c r="J132" s="8" t="s">
        <v>26</v>
      </c>
      <c r="K132" s="20">
        <v>20</v>
      </c>
      <c r="L132" s="20">
        <v>15</v>
      </c>
      <c r="M132" s="11">
        <v>50</v>
      </c>
    </row>
    <row r="133" spans="1:13" ht="16.5" customHeight="1">
      <c r="A133" s="8">
        <v>3362</v>
      </c>
      <c r="B133" s="8" t="s">
        <v>162</v>
      </c>
      <c r="C133" s="8" t="s">
        <v>33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20">
        <v>0</v>
      </c>
      <c r="J133" s="8" t="s">
        <v>26</v>
      </c>
      <c r="K133" s="20">
        <v>20</v>
      </c>
      <c r="L133" s="20">
        <v>15</v>
      </c>
      <c r="M133" s="11">
        <v>15</v>
      </c>
    </row>
    <row r="134" spans="1:13" ht="16.5" customHeight="1">
      <c r="A134" s="8">
        <v>3363</v>
      </c>
      <c r="B134" s="8" t="s">
        <v>163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20">
        <v>0</v>
      </c>
      <c r="J134" s="8" t="s">
        <v>30</v>
      </c>
      <c r="K134" s="20">
        <v>0</v>
      </c>
      <c r="L134" s="20">
        <v>1</v>
      </c>
      <c r="M134" s="11">
        <v>4</v>
      </c>
    </row>
    <row r="135" spans="1:13" ht="16.5" customHeight="1">
      <c r="A135" s="8">
        <v>3364</v>
      </c>
      <c r="B135" s="8" t="s">
        <v>164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34</v>
      </c>
      <c r="H135" s="8" t="s">
        <v>26</v>
      </c>
      <c r="I135" s="20">
        <v>30</v>
      </c>
      <c r="J135" s="8" t="s">
        <v>26</v>
      </c>
      <c r="K135" s="20">
        <v>20</v>
      </c>
      <c r="L135" s="20">
        <v>7</v>
      </c>
      <c r="M135" s="11">
        <v>58</v>
      </c>
    </row>
    <row r="136" spans="1:13" ht="16.5" customHeight="1">
      <c r="A136" s="8">
        <v>3365</v>
      </c>
      <c r="B136" s="8" t="s">
        <v>165</v>
      </c>
      <c r="C136" s="8" t="s">
        <v>33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20">
        <v>0</v>
      </c>
      <c r="J136" s="8" t="s">
        <v>26</v>
      </c>
      <c r="K136" s="20">
        <v>20</v>
      </c>
      <c r="L136" s="20">
        <v>10</v>
      </c>
      <c r="M136" s="11">
        <v>20</v>
      </c>
    </row>
    <row r="137" spans="1:13" ht="16.5" customHeight="1">
      <c r="A137" s="8">
        <v>3366</v>
      </c>
      <c r="B137" s="8" t="s">
        <v>166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20">
        <v>0</v>
      </c>
      <c r="J137" s="8" t="s">
        <v>30</v>
      </c>
      <c r="K137" s="20">
        <v>0</v>
      </c>
      <c r="L137" s="20">
        <v>0</v>
      </c>
      <c r="M137" s="11">
        <v>5</v>
      </c>
    </row>
    <row r="138" spans="1:13" ht="16.5" customHeight="1">
      <c r="A138" s="8">
        <v>3367</v>
      </c>
      <c r="B138" s="8" t="s">
        <v>167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34</v>
      </c>
      <c r="H138" s="8" t="s">
        <v>26</v>
      </c>
      <c r="I138" s="20">
        <v>30</v>
      </c>
      <c r="J138" s="8" t="s">
        <v>26</v>
      </c>
      <c r="K138" s="20">
        <v>20</v>
      </c>
      <c r="L138" s="20">
        <v>7</v>
      </c>
      <c r="M138" s="11">
        <v>58</v>
      </c>
    </row>
    <row r="139" spans="1:13" ht="16.5" customHeight="1">
      <c r="A139" s="8">
        <v>3368</v>
      </c>
      <c r="B139" s="8" t="s">
        <v>168</v>
      </c>
      <c r="C139" s="8" t="s">
        <v>33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20">
        <v>0</v>
      </c>
      <c r="J139" s="8" t="s">
        <v>26</v>
      </c>
      <c r="K139" s="20">
        <v>20</v>
      </c>
      <c r="L139" s="20">
        <v>10</v>
      </c>
      <c r="M139" s="11">
        <v>20</v>
      </c>
    </row>
    <row r="140" spans="1:13" ht="16.5" customHeight="1">
      <c r="A140" s="8">
        <v>3369</v>
      </c>
      <c r="B140" s="8" t="s">
        <v>169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34</v>
      </c>
      <c r="H140" s="8" t="s">
        <v>30</v>
      </c>
      <c r="I140" s="20">
        <v>0</v>
      </c>
      <c r="J140" s="8" t="s">
        <v>30</v>
      </c>
      <c r="K140" s="20">
        <v>0</v>
      </c>
      <c r="L140" s="20">
        <v>1</v>
      </c>
      <c r="M140" s="11">
        <v>4</v>
      </c>
    </row>
    <row r="141" spans="1:13" ht="16.5" customHeight="1">
      <c r="A141" s="8">
        <v>3370</v>
      </c>
      <c r="B141" s="8" t="s">
        <v>170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20">
        <v>30</v>
      </c>
      <c r="J141" s="8" t="s">
        <v>26</v>
      </c>
      <c r="K141" s="20">
        <v>20</v>
      </c>
      <c r="L141" s="20">
        <v>15</v>
      </c>
      <c r="M141" s="11">
        <v>50</v>
      </c>
    </row>
    <row r="142" spans="1:13" ht="16.5" customHeight="1">
      <c r="A142" s="8">
        <v>3371</v>
      </c>
      <c r="B142" s="8" t="s">
        <v>171</v>
      </c>
      <c r="C142" s="8" t="s">
        <v>33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20">
        <v>0</v>
      </c>
      <c r="J142" s="8" t="s">
        <v>26</v>
      </c>
      <c r="K142" s="20">
        <v>20</v>
      </c>
      <c r="L142" s="20">
        <v>5</v>
      </c>
      <c r="M142" s="11">
        <v>25</v>
      </c>
    </row>
    <row r="143" spans="1:13" ht="16.5" customHeight="1">
      <c r="A143" s="8">
        <v>3372</v>
      </c>
      <c r="B143" s="8" t="s">
        <v>172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20">
        <v>0</v>
      </c>
      <c r="J143" s="8" t="s">
        <v>30</v>
      </c>
      <c r="K143" s="20">
        <v>0</v>
      </c>
      <c r="L143" s="20">
        <v>0</v>
      </c>
      <c r="M143" s="11">
        <v>5</v>
      </c>
    </row>
    <row r="144" spans="1:13" ht="16.5" customHeight="1">
      <c r="A144" s="8">
        <v>3373</v>
      </c>
      <c r="B144" s="8" t="s">
        <v>173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34</v>
      </c>
      <c r="H144" s="8" t="s">
        <v>26</v>
      </c>
      <c r="I144" s="20">
        <v>30</v>
      </c>
      <c r="J144" s="8" t="s">
        <v>26</v>
      </c>
      <c r="K144" s="20">
        <v>20</v>
      </c>
      <c r="L144" s="20">
        <v>20</v>
      </c>
      <c r="M144" s="11">
        <v>45</v>
      </c>
    </row>
    <row r="145" spans="1:13" ht="16.5" customHeight="1">
      <c r="A145" s="8">
        <v>3374</v>
      </c>
      <c r="B145" s="8" t="s">
        <v>174</v>
      </c>
      <c r="C145" s="8" t="s">
        <v>33</v>
      </c>
      <c r="D145" s="10">
        <v>45491</v>
      </c>
      <c r="E145" s="8" t="s">
        <v>26</v>
      </c>
      <c r="F145" s="11">
        <v>10</v>
      </c>
      <c r="G145" s="8" t="s">
        <v>34</v>
      </c>
      <c r="H145" s="8" t="s">
        <v>30</v>
      </c>
      <c r="I145" s="20">
        <v>0</v>
      </c>
      <c r="J145" s="8" t="s">
        <v>26</v>
      </c>
      <c r="K145" s="20">
        <v>20</v>
      </c>
      <c r="L145" s="20">
        <v>12</v>
      </c>
      <c r="M145" s="11">
        <v>18</v>
      </c>
    </row>
    <row r="146" spans="1:13" ht="16.5" customHeight="1">
      <c r="A146" s="8">
        <v>3375</v>
      </c>
      <c r="B146" s="8" t="s">
        <v>175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20">
        <v>0</v>
      </c>
      <c r="J146" s="8" t="s">
        <v>30</v>
      </c>
      <c r="K146" s="20">
        <v>0</v>
      </c>
      <c r="L146" s="20">
        <v>2</v>
      </c>
      <c r="M146" s="11">
        <v>3</v>
      </c>
    </row>
    <row r="147" spans="1:13" ht="16.5" customHeight="1">
      <c r="A147" s="8">
        <v>3376</v>
      </c>
      <c r="B147" s="8" t="s">
        <v>176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20">
        <v>30</v>
      </c>
      <c r="J147" s="8" t="s">
        <v>26</v>
      </c>
      <c r="K147" s="20">
        <v>20</v>
      </c>
      <c r="L147" s="20">
        <v>5</v>
      </c>
      <c r="M147" s="11">
        <v>60</v>
      </c>
    </row>
    <row r="148" spans="1:13" ht="16.5" customHeight="1">
      <c r="A148" s="8">
        <v>3377</v>
      </c>
      <c r="B148" s="8" t="s">
        <v>177</v>
      </c>
      <c r="C148" s="8" t="s">
        <v>33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20">
        <v>0</v>
      </c>
      <c r="J148" s="8" t="s">
        <v>26</v>
      </c>
      <c r="K148" s="20">
        <v>20</v>
      </c>
      <c r="L148" s="20">
        <v>10</v>
      </c>
      <c r="M148" s="11">
        <v>20</v>
      </c>
    </row>
    <row r="149" spans="1:13" ht="16.5" customHeight="1">
      <c r="A149" s="8">
        <v>3378</v>
      </c>
      <c r="B149" s="8" t="s">
        <v>178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34</v>
      </c>
      <c r="H149" s="8" t="s">
        <v>30</v>
      </c>
      <c r="I149" s="20">
        <v>0</v>
      </c>
      <c r="J149" s="8" t="s">
        <v>30</v>
      </c>
      <c r="K149" s="20">
        <v>0</v>
      </c>
      <c r="L149" s="20">
        <v>0</v>
      </c>
      <c r="M149" s="11">
        <v>5</v>
      </c>
    </row>
    <row r="150" spans="1:13" ht="16.5" customHeight="1">
      <c r="A150" s="8">
        <v>3379</v>
      </c>
      <c r="B150" s="8" t="s">
        <v>179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20">
        <v>30</v>
      </c>
      <c r="J150" s="8" t="s">
        <v>26</v>
      </c>
      <c r="K150" s="20">
        <v>20</v>
      </c>
      <c r="L150" s="20">
        <v>3</v>
      </c>
      <c r="M150" s="11">
        <v>62</v>
      </c>
    </row>
    <row r="151" spans="1:13" ht="16.5" customHeight="1">
      <c r="A151" s="8">
        <v>3380</v>
      </c>
      <c r="B151" s="8" t="s">
        <v>180</v>
      </c>
      <c r="C151" s="8" t="s">
        <v>33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20">
        <v>0</v>
      </c>
      <c r="J151" s="8" t="s">
        <v>26</v>
      </c>
      <c r="K151" s="20">
        <v>20</v>
      </c>
      <c r="L151" s="20">
        <v>15</v>
      </c>
      <c r="M151" s="11">
        <v>15</v>
      </c>
    </row>
    <row r="152" spans="1:13" ht="16.5" customHeight="1">
      <c r="A152" s="8">
        <v>3381</v>
      </c>
      <c r="B152" s="8" t="s">
        <v>181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20">
        <v>0</v>
      </c>
      <c r="J152" s="8" t="s">
        <v>30</v>
      </c>
      <c r="K152" s="20">
        <v>0</v>
      </c>
      <c r="L152" s="20">
        <v>1</v>
      </c>
      <c r="M152" s="11">
        <v>4</v>
      </c>
    </row>
    <row r="153" spans="1:13" ht="16.5" customHeight="1">
      <c r="A153" s="8">
        <v>3382</v>
      </c>
      <c r="B153" s="8" t="s">
        <v>182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34</v>
      </c>
      <c r="H153" s="8" t="s">
        <v>26</v>
      </c>
      <c r="I153" s="20">
        <v>30</v>
      </c>
      <c r="J153" s="8" t="s">
        <v>26</v>
      </c>
      <c r="K153" s="20">
        <v>20</v>
      </c>
      <c r="L153" s="20">
        <v>7</v>
      </c>
      <c r="M153" s="11">
        <v>58</v>
      </c>
    </row>
    <row r="154" spans="1:13" ht="16.5" customHeight="1">
      <c r="A154" s="8">
        <v>3383</v>
      </c>
      <c r="B154" s="8" t="s">
        <v>183</v>
      </c>
      <c r="C154" s="8" t="s">
        <v>33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20">
        <v>0</v>
      </c>
      <c r="J154" s="8" t="s">
        <v>26</v>
      </c>
      <c r="K154" s="20">
        <v>20</v>
      </c>
      <c r="L154" s="20">
        <v>10</v>
      </c>
      <c r="M154" s="11">
        <v>20</v>
      </c>
    </row>
    <row r="155" spans="1:13" ht="16.5" customHeight="1">
      <c r="A155" s="8">
        <v>3384</v>
      </c>
      <c r="B155" s="8" t="s">
        <v>184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20">
        <v>0</v>
      </c>
      <c r="J155" s="8" t="s">
        <v>30</v>
      </c>
      <c r="K155" s="20">
        <v>0</v>
      </c>
      <c r="L155" s="20">
        <v>0</v>
      </c>
      <c r="M155" s="11">
        <v>5</v>
      </c>
    </row>
    <row r="156" spans="1:13" ht="16.5" customHeight="1">
      <c r="A156" s="8">
        <v>3385</v>
      </c>
      <c r="B156" s="8" t="s">
        <v>185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20">
        <v>30</v>
      </c>
      <c r="J156" s="8" t="s">
        <v>26</v>
      </c>
      <c r="K156" s="20">
        <v>20</v>
      </c>
      <c r="L156" s="20">
        <v>20</v>
      </c>
      <c r="M156" s="11">
        <v>45</v>
      </c>
    </row>
    <row r="157" spans="1:13" ht="16.5" customHeight="1">
      <c r="A157" s="8">
        <v>3386</v>
      </c>
      <c r="B157" s="8" t="s">
        <v>186</v>
      </c>
      <c r="C157" s="8" t="s">
        <v>33</v>
      </c>
      <c r="D157" s="10">
        <v>45503</v>
      </c>
      <c r="E157" s="8" t="s">
        <v>26</v>
      </c>
      <c r="F157" s="11">
        <v>10</v>
      </c>
      <c r="G157" s="8" t="s">
        <v>34</v>
      </c>
      <c r="H157" s="8" t="s">
        <v>30</v>
      </c>
      <c r="I157" s="20">
        <v>0</v>
      </c>
      <c r="J157" s="8" t="s">
        <v>26</v>
      </c>
      <c r="K157" s="20">
        <v>20</v>
      </c>
      <c r="L157" s="20">
        <v>15</v>
      </c>
      <c r="M157" s="11">
        <v>15</v>
      </c>
    </row>
    <row r="158" spans="1:13" ht="16.5" customHeight="1">
      <c r="A158" s="8">
        <v>3387</v>
      </c>
      <c r="B158" s="8" t="s">
        <v>187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20">
        <v>0</v>
      </c>
      <c r="J158" s="8" t="s">
        <v>30</v>
      </c>
      <c r="K158" s="20">
        <v>0</v>
      </c>
      <c r="L158" s="20">
        <v>1</v>
      </c>
      <c r="M158" s="11">
        <v>4</v>
      </c>
    </row>
    <row r="159" spans="1:13" ht="16.5" customHeight="1">
      <c r="A159" s="8">
        <v>3388</v>
      </c>
      <c r="B159" s="8" t="s">
        <v>188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20">
        <v>30</v>
      </c>
      <c r="J159" s="8" t="s">
        <v>26</v>
      </c>
      <c r="K159" s="20">
        <v>20</v>
      </c>
      <c r="L159" s="20">
        <v>3</v>
      </c>
      <c r="M159" s="11">
        <v>62</v>
      </c>
    </row>
    <row r="160" spans="1:13" ht="16.5" customHeight="1">
      <c r="A160" s="8">
        <v>3389</v>
      </c>
      <c r="B160" s="8" t="s">
        <v>189</v>
      </c>
      <c r="C160" s="8" t="s">
        <v>33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20">
        <v>0</v>
      </c>
      <c r="J160" s="8" t="s">
        <v>26</v>
      </c>
      <c r="K160" s="20">
        <v>20</v>
      </c>
      <c r="L160" s="20">
        <v>10</v>
      </c>
      <c r="M160" s="11">
        <v>20</v>
      </c>
    </row>
    <row r="161" spans="1:13" ht="16.5" customHeight="1">
      <c r="A161" s="8">
        <v>3390</v>
      </c>
      <c r="B161" s="8" t="s">
        <v>190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34</v>
      </c>
      <c r="H161" s="8" t="s">
        <v>30</v>
      </c>
      <c r="I161" s="20">
        <v>0</v>
      </c>
      <c r="J161" s="8" t="s">
        <v>30</v>
      </c>
      <c r="K161" s="20">
        <v>0</v>
      </c>
      <c r="L161" s="20">
        <v>0</v>
      </c>
      <c r="M161" s="11">
        <v>5</v>
      </c>
    </row>
    <row r="162" spans="1:13" ht="16.5" customHeight="1">
      <c r="A162" s="8">
        <v>3391</v>
      </c>
      <c r="B162" s="8" t="s">
        <v>90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20">
        <v>30</v>
      </c>
      <c r="J162" s="8" t="s">
        <v>26</v>
      </c>
      <c r="K162" s="20">
        <v>20</v>
      </c>
      <c r="L162" s="20">
        <v>15</v>
      </c>
      <c r="M162" s="11">
        <v>50</v>
      </c>
    </row>
    <row r="163" spans="1:13" ht="16.5" customHeight="1">
      <c r="A163" s="8">
        <v>3392</v>
      </c>
      <c r="B163" s="8" t="s">
        <v>191</v>
      </c>
      <c r="C163" s="8" t="s">
        <v>33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20">
        <v>0</v>
      </c>
      <c r="J163" s="8" t="s">
        <v>26</v>
      </c>
      <c r="K163" s="20">
        <v>20</v>
      </c>
      <c r="L163" s="20">
        <v>15</v>
      </c>
      <c r="M163" s="11">
        <v>15</v>
      </c>
    </row>
    <row r="164" spans="1:13" ht="16.5" customHeight="1">
      <c r="A164" s="8">
        <v>3393</v>
      </c>
      <c r="B164" s="8" t="s">
        <v>192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20">
        <v>0</v>
      </c>
      <c r="J164" s="8" t="s">
        <v>30</v>
      </c>
      <c r="K164" s="20">
        <v>0</v>
      </c>
      <c r="L164" s="20">
        <v>1</v>
      </c>
      <c r="M164" s="11">
        <v>4</v>
      </c>
    </row>
    <row r="165" spans="1:13" ht="16.5" customHeight="1">
      <c r="A165" s="8">
        <v>3394</v>
      </c>
      <c r="B165" s="8" t="s">
        <v>193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34</v>
      </c>
      <c r="H165" s="8" t="s">
        <v>26</v>
      </c>
      <c r="I165" s="20">
        <v>30</v>
      </c>
      <c r="J165" s="8" t="s">
        <v>26</v>
      </c>
      <c r="K165" s="20">
        <v>20</v>
      </c>
      <c r="L165" s="20">
        <v>7</v>
      </c>
      <c r="M165" s="11">
        <v>58</v>
      </c>
    </row>
    <row r="166" spans="1:13" ht="16.5" customHeight="1">
      <c r="A166" s="8">
        <v>3395</v>
      </c>
      <c r="B166" s="8" t="s">
        <v>194</v>
      </c>
      <c r="C166" s="8" t="s">
        <v>33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20">
        <v>0</v>
      </c>
      <c r="J166" s="8" t="s">
        <v>26</v>
      </c>
      <c r="K166" s="20">
        <v>20</v>
      </c>
      <c r="L166" s="20">
        <v>10</v>
      </c>
      <c r="M166" s="11">
        <v>20</v>
      </c>
    </row>
    <row r="167" spans="1:13" ht="16.5" customHeight="1">
      <c r="A167" s="8">
        <v>3396</v>
      </c>
      <c r="B167" s="8" t="s">
        <v>195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20">
        <v>0</v>
      </c>
      <c r="J167" s="8" t="s">
        <v>30</v>
      </c>
      <c r="K167" s="20">
        <v>0</v>
      </c>
      <c r="L167" s="20">
        <v>0</v>
      </c>
      <c r="M167" s="11">
        <v>5</v>
      </c>
    </row>
    <row r="168" spans="1:13" ht="16.5" customHeight="1">
      <c r="A168" s="8">
        <v>3397</v>
      </c>
      <c r="B168" s="8" t="s">
        <v>122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20">
        <v>30</v>
      </c>
      <c r="J168" s="8" t="s">
        <v>26</v>
      </c>
      <c r="K168" s="20">
        <v>20</v>
      </c>
      <c r="L168" s="20">
        <v>20</v>
      </c>
      <c r="M168" s="11">
        <v>45</v>
      </c>
    </row>
    <row r="169" spans="1:13" ht="16.5" customHeight="1">
      <c r="A169" s="8">
        <v>3398</v>
      </c>
      <c r="B169" s="8" t="s">
        <v>196</v>
      </c>
      <c r="C169" s="8" t="s">
        <v>33</v>
      </c>
      <c r="D169" s="10">
        <v>45515</v>
      </c>
      <c r="E169" s="8" t="s">
        <v>26</v>
      </c>
      <c r="F169" s="11">
        <v>10</v>
      </c>
      <c r="G169" s="8" t="s">
        <v>34</v>
      </c>
      <c r="H169" s="8" t="s">
        <v>30</v>
      </c>
      <c r="I169" s="20">
        <v>0</v>
      </c>
      <c r="J169" s="8" t="s">
        <v>26</v>
      </c>
      <c r="K169" s="20">
        <v>20</v>
      </c>
      <c r="L169" s="20">
        <v>15</v>
      </c>
      <c r="M169" s="11">
        <v>15</v>
      </c>
    </row>
    <row r="170" spans="1:13" ht="16.5" customHeight="1">
      <c r="A170" s="8">
        <v>3399</v>
      </c>
      <c r="B170" s="8" t="s">
        <v>197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20">
        <v>0</v>
      </c>
      <c r="J170" s="8" t="s">
        <v>30</v>
      </c>
      <c r="K170" s="20">
        <v>0</v>
      </c>
      <c r="L170" s="20">
        <v>1</v>
      </c>
      <c r="M170" s="11">
        <v>4</v>
      </c>
    </row>
    <row r="171" spans="1:13" ht="16.5" customHeight="1">
      <c r="A171" s="8">
        <v>3400</v>
      </c>
      <c r="B171" s="8" t="s">
        <v>198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20">
        <v>30</v>
      </c>
      <c r="J171" s="8" t="s">
        <v>26</v>
      </c>
      <c r="K171" s="20">
        <v>20</v>
      </c>
      <c r="L171" s="20">
        <v>5</v>
      </c>
      <c r="M171" s="11">
        <v>60</v>
      </c>
    </row>
    <row r="172" spans="1:13" ht="16.5" customHeight="1">
      <c r="A172" s="8">
        <v>3401</v>
      </c>
      <c r="B172" s="8" t="s">
        <v>199</v>
      </c>
      <c r="C172" s="8" t="s">
        <v>33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20">
        <v>0</v>
      </c>
      <c r="J172" s="8" t="s">
        <v>26</v>
      </c>
      <c r="K172" s="20">
        <v>20</v>
      </c>
      <c r="L172" s="20">
        <v>10</v>
      </c>
      <c r="M172" s="11">
        <v>20</v>
      </c>
    </row>
    <row r="173" spans="1:13" ht="16.5" customHeight="1">
      <c r="A173" s="8">
        <v>3402</v>
      </c>
      <c r="B173" s="8" t="s">
        <v>200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34</v>
      </c>
      <c r="H173" s="8" t="s">
        <v>30</v>
      </c>
      <c r="I173" s="20">
        <v>0</v>
      </c>
      <c r="J173" s="8" t="s">
        <v>30</v>
      </c>
      <c r="K173" s="20">
        <v>0</v>
      </c>
      <c r="L173" s="20">
        <v>0</v>
      </c>
      <c r="M173" s="11">
        <v>5</v>
      </c>
    </row>
    <row r="174" spans="1:13" ht="16.5" customHeight="1">
      <c r="A174" s="8">
        <v>3403</v>
      </c>
      <c r="B174" s="8" t="s">
        <v>201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20">
        <v>30</v>
      </c>
      <c r="J174" s="8" t="s">
        <v>26</v>
      </c>
      <c r="K174" s="20">
        <v>20</v>
      </c>
      <c r="L174" s="20">
        <v>3</v>
      </c>
      <c r="M174" s="11">
        <v>62</v>
      </c>
    </row>
    <row r="175" spans="1:13" ht="16.5" customHeight="1">
      <c r="A175" s="8">
        <v>3404</v>
      </c>
      <c r="B175" s="8" t="s">
        <v>202</v>
      </c>
      <c r="C175" s="8" t="s">
        <v>33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20">
        <v>0</v>
      </c>
      <c r="J175" s="8" t="s">
        <v>26</v>
      </c>
      <c r="K175" s="20">
        <v>20</v>
      </c>
      <c r="L175" s="20">
        <v>15</v>
      </c>
      <c r="M175" s="11">
        <v>15</v>
      </c>
    </row>
    <row r="176" spans="1:13" ht="16.5" customHeight="1">
      <c r="A176" s="8">
        <v>3405</v>
      </c>
      <c r="B176" s="8" t="s">
        <v>203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20">
        <v>0</v>
      </c>
      <c r="J176" s="8" t="s">
        <v>30</v>
      </c>
      <c r="K176" s="20">
        <v>0</v>
      </c>
      <c r="L176" s="20">
        <v>1</v>
      </c>
      <c r="M176" s="11">
        <v>4</v>
      </c>
    </row>
    <row r="177" spans="1:13" ht="16.5" customHeight="1">
      <c r="A177" s="8">
        <v>3406</v>
      </c>
      <c r="B177" s="8" t="s">
        <v>204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20">
        <v>0</v>
      </c>
      <c r="J177" s="8" t="s">
        <v>30</v>
      </c>
      <c r="K177" s="20">
        <v>0</v>
      </c>
      <c r="L177" s="20">
        <v>0</v>
      </c>
      <c r="M177" s="11">
        <v>5</v>
      </c>
    </row>
    <row r="178" spans="1:13" ht="16.5" customHeight="1">
      <c r="A178" s="8">
        <v>3407</v>
      </c>
      <c r="B178" s="8" t="s">
        <v>205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34</v>
      </c>
      <c r="H178" s="8" t="s">
        <v>26</v>
      </c>
      <c r="I178" s="20">
        <v>30</v>
      </c>
      <c r="J178" s="8" t="s">
        <v>26</v>
      </c>
      <c r="K178" s="20">
        <v>20</v>
      </c>
      <c r="L178" s="20">
        <v>7</v>
      </c>
      <c r="M178" s="11">
        <v>58</v>
      </c>
    </row>
    <row r="179" spans="1:13" ht="16.5" customHeight="1">
      <c r="A179" s="8">
        <v>3408</v>
      </c>
      <c r="B179" s="8" t="s">
        <v>206</v>
      </c>
      <c r="C179" s="8" t="s">
        <v>33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20">
        <v>0</v>
      </c>
      <c r="J179" s="8" t="s">
        <v>26</v>
      </c>
      <c r="K179" s="20">
        <v>20</v>
      </c>
      <c r="L179" s="20">
        <v>10</v>
      </c>
      <c r="M179" s="11">
        <v>20</v>
      </c>
    </row>
    <row r="180" spans="1:13" ht="16.5" customHeight="1">
      <c r="A180" s="8">
        <v>3409</v>
      </c>
      <c r="B180" s="8" t="s">
        <v>207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34</v>
      </c>
      <c r="H180" s="8" t="s">
        <v>30</v>
      </c>
      <c r="I180" s="20">
        <v>0</v>
      </c>
      <c r="J180" s="8" t="s">
        <v>30</v>
      </c>
      <c r="K180" s="20">
        <v>0</v>
      </c>
      <c r="L180" s="20">
        <v>1</v>
      </c>
      <c r="M180" s="11">
        <v>4</v>
      </c>
    </row>
    <row r="181" spans="1:13" ht="16.5" customHeight="1">
      <c r="A181" s="8">
        <v>3410</v>
      </c>
      <c r="B181" s="8" t="s">
        <v>208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20">
        <v>30</v>
      </c>
      <c r="J181" s="8" t="s">
        <v>26</v>
      </c>
      <c r="K181" s="20">
        <v>20</v>
      </c>
      <c r="L181" s="20">
        <v>15</v>
      </c>
      <c r="M181" s="11">
        <v>50</v>
      </c>
    </row>
    <row r="182" spans="1:13" ht="16.5" customHeight="1">
      <c r="A182" s="8">
        <v>3411</v>
      </c>
      <c r="B182" s="8" t="s">
        <v>209</v>
      </c>
      <c r="C182" s="8" t="s">
        <v>33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20">
        <v>0</v>
      </c>
      <c r="J182" s="8" t="s">
        <v>26</v>
      </c>
      <c r="K182" s="20">
        <v>20</v>
      </c>
      <c r="L182" s="20">
        <v>5</v>
      </c>
      <c r="M182" s="11">
        <v>25</v>
      </c>
    </row>
    <row r="183" spans="1:13" ht="16.5" customHeight="1">
      <c r="A183" s="8">
        <v>3412</v>
      </c>
      <c r="B183" s="8" t="s">
        <v>210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20">
        <v>0</v>
      </c>
      <c r="J183" s="8" t="s">
        <v>30</v>
      </c>
      <c r="K183" s="20">
        <v>0</v>
      </c>
      <c r="L183" s="20">
        <v>0</v>
      </c>
      <c r="M183" s="11">
        <v>5</v>
      </c>
    </row>
    <row r="184" spans="1:13" ht="16.5" customHeight="1">
      <c r="A184" s="8">
        <v>3413</v>
      </c>
      <c r="B184" s="8" t="s">
        <v>211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34</v>
      </c>
      <c r="H184" s="8" t="s">
        <v>26</v>
      </c>
      <c r="I184" s="20">
        <v>30</v>
      </c>
      <c r="J184" s="8" t="s">
        <v>26</v>
      </c>
      <c r="K184" s="20">
        <v>20</v>
      </c>
      <c r="L184" s="20">
        <v>20</v>
      </c>
      <c r="M184" s="11">
        <v>45</v>
      </c>
    </row>
    <row r="185" spans="1:13" ht="16.5" customHeight="1">
      <c r="A185" s="8">
        <v>3414</v>
      </c>
      <c r="B185" s="8" t="s">
        <v>212</v>
      </c>
      <c r="C185" s="8" t="s">
        <v>33</v>
      </c>
      <c r="D185" s="10">
        <v>45531</v>
      </c>
      <c r="E185" s="8" t="s">
        <v>26</v>
      </c>
      <c r="F185" s="11">
        <v>10</v>
      </c>
      <c r="G185" s="8" t="s">
        <v>34</v>
      </c>
      <c r="H185" s="8" t="s">
        <v>30</v>
      </c>
      <c r="I185" s="20">
        <v>0</v>
      </c>
      <c r="J185" s="8" t="s">
        <v>26</v>
      </c>
      <c r="K185" s="20">
        <v>20</v>
      </c>
      <c r="L185" s="20">
        <v>12</v>
      </c>
      <c r="M185" s="11">
        <v>18</v>
      </c>
    </row>
    <row r="186" spans="1:13" ht="16.5" customHeight="1">
      <c r="A186" s="8">
        <v>3415</v>
      </c>
      <c r="B186" s="8" t="s">
        <v>213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20">
        <v>0</v>
      </c>
      <c r="J186" s="8" t="s">
        <v>30</v>
      </c>
      <c r="K186" s="20">
        <v>0</v>
      </c>
      <c r="L186" s="20">
        <v>2</v>
      </c>
      <c r="M186" s="11">
        <v>3</v>
      </c>
    </row>
    <row r="187" spans="1:13" ht="16.5" customHeight="1">
      <c r="A187" s="8">
        <v>3416</v>
      </c>
      <c r="B187" s="8" t="s">
        <v>214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20">
        <v>30</v>
      </c>
      <c r="J187" s="8" t="s">
        <v>26</v>
      </c>
      <c r="K187" s="20">
        <v>20</v>
      </c>
      <c r="L187" s="20">
        <v>5</v>
      </c>
      <c r="M187" s="11">
        <v>60</v>
      </c>
    </row>
    <row r="188" spans="1:13" ht="16.5" customHeight="1">
      <c r="A188" s="8">
        <v>3417</v>
      </c>
      <c r="B188" s="8" t="s">
        <v>215</v>
      </c>
      <c r="C188" s="8" t="s">
        <v>33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20">
        <v>0</v>
      </c>
      <c r="J188" s="8" t="s">
        <v>26</v>
      </c>
      <c r="K188" s="20">
        <v>20</v>
      </c>
      <c r="L188" s="20">
        <v>10</v>
      </c>
      <c r="M188" s="11">
        <v>20</v>
      </c>
    </row>
    <row r="189" spans="1:13" ht="16.5" customHeight="1">
      <c r="A189" s="8">
        <v>3418</v>
      </c>
      <c r="B189" s="8" t="s">
        <v>216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34</v>
      </c>
      <c r="H189" s="8" t="s">
        <v>30</v>
      </c>
      <c r="I189" s="20">
        <v>0</v>
      </c>
      <c r="J189" s="8" t="s">
        <v>30</v>
      </c>
      <c r="K189" s="20">
        <v>0</v>
      </c>
      <c r="L189" s="20">
        <v>0</v>
      </c>
      <c r="M189" s="11">
        <v>5</v>
      </c>
    </row>
    <row r="190" spans="1:13" ht="16.5" customHeight="1">
      <c r="A190" s="8">
        <v>3419</v>
      </c>
      <c r="B190" s="8" t="s">
        <v>217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20">
        <v>30</v>
      </c>
      <c r="J190" s="8" t="s">
        <v>26</v>
      </c>
      <c r="K190" s="20">
        <v>20</v>
      </c>
      <c r="L190" s="20">
        <v>3</v>
      </c>
      <c r="M190" s="11">
        <v>62</v>
      </c>
    </row>
    <row r="191" spans="1:13" ht="16.5" customHeight="1">
      <c r="A191" s="8">
        <v>3420</v>
      </c>
      <c r="B191" s="8" t="s">
        <v>218</v>
      </c>
      <c r="C191" s="8" t="s">
        <v>33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20">
        <v>0</v>
      </c>
      <c r="J191" s="8" t="s">
        <v>26</v>
      </c>
      <c r="K191" s="20">
        <v>20</v>
      </c>
      <c r="L191" s="20">
        <v>15</v>
      </c>
      <c r="M191" s="11">
        <v>15</v>
      </c>
    </row>
    <row r="192" spans="1:13" ht="16.5" customHeight="1">
      <c r="A192" s="8">
        <v>3421</v>
      </c>
      <c r="B192" s="8" t="s">
        <v>47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20">
        <v>0</v>
      </c>
      <c r="J192" s="8" t="s">
        <v>30</v>
      </c>
      <c r="K192" s="20">
        <v>0</v>
      </c>
      <c r="L192" s="20">
        <v>1</v>
      </c>
      <c r="M192" s="11">
        <v>4</v>
      </c>
    </row>
    <row r="193" spans="1:13" ht="16.5" customHeight="1">
      <c r="A193" s="8">
        <v>3422</v>
      </c>
      <c r="B193" s="8" t="s">
        <v>219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34</v>
      </c>
      <c r="H193" s="8" t="s">
        <v>26</v>
      </c>
      <c r="I193" s="20">
        <v>30</v>
      </c>
      <c r="J193" s="8" t="s">
        <v>26</v>
      </c>
      <c r="K193" s="20">
        <v>20</v>
      </c>
      <c r="L193" s="20">
        <v>7</v>
      </c>
      <c r="M193" s="11">
        <v>58</v>
      </c>
    </row>
    <row r="194" spans="1:13" ht="16.5" customHeight="1">
      <c r="A194" s="8">
        <v>3423</v>
      </c>
      <c r="B194" s="8" t="s">
        <v>220</v>
      </c>
      <c r="C194" s="8" t="s">
        <v>33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20">
        <v>0</v>
      </c>
      <c r="J194" s="8" t="s">
        <v>26</v>
      </c>
      <c r="K194" s="20">
        <v>20</v>
      </c>
      <c r="L194" s="20">
        <v>10</v>
      </c>
      <c r="M194" s="11">
        <v>20</v>
      </c>
    </row>
    <row r="195" spans="1:13" ht="16.5" customHeight="1">
      <c r="A195" s="8">
        <v>3424</v>
      </c>
      <c r="B195" s="8" t="s">
        <v>46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20">
        <v>0</v>
      </c>
      <c r="J195" s="8" t="s">
        <v>30</v>
      </c>
      <c r="K195" s="20">
        <v>0</v>
      </c>
      <c r="L195" s="20">
        <v>0</v>
      </c>
      <c r="M195" s="11">
        <v>5</v>
      </c>
    </row>
    <row r="196" spans="1:13" ht="16.5" customHeight="1">
      <c r="A196" s="8">
        <v>3425</v>
      </c>
      <c r="B196" s="8" t="s">
        <v>221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20">
        <v>30</v>
      </c>
      <c r="J196" s="8" t="s">
        <v>26</v>
      </c>
      <c r="K196" s="20">
        <v>20</v>
      </c>
      <c r="L196" s="20">
        <v>20</v>
      </c>
      <c r="M196" s="11">
        <v>45</v>
      </c>
    </row>
    <row r="197" spans="1:13" ht="16.5" customHeight="1">
      <c r="A197" s="8">
        <v>3426</v>
      </c>
      <c r="B197" s="8" t="s">
        <v>199</v>
      </c>
      <c r="C197" s="8" t="s">
        <v>33</v>
      </c>
      <c r="D197" s="10">
        <v>45543</v>
      </c>
      <c r="E197" s="8" t="s">
        <v>26</v>
      </c>
      <c r="F197" s="11">
        <v>10</v>
      </c>
      <c r="G197" s="8" t="s">
        <v>34</v>
      </c>
      <c r="H197" s="8" t="s">
        <v>30</v>
      </c>
      <c r="I197" s="20">
        <v>0</v>
      </c>
      <c r="J197" s="8" t="s">
        <v>26</v>
      </c>
      <c r="K197" s="20">
        <v>20</v>
      </c>
      <c r="L197" s="20">
        <v>15</v>
      </c>
      <c r="M197" s="11">
        <v>15</v>
      </c>
    </row>
    <row r="198" spans="1:13" ht="16.5" customHeight="1">
      <c r="A198" s="8">
        <v>3427</v>
      </c>
      <c r="B198" s="8" t="s">
        <v>222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20">
        <v>0</v>
      </c>
      <c r="J198" s="8" t="s">
        <v>30</v>
      </c>
      <c r="K198" s="20">
        <v>0</v>
      </c>
      <c r="L198" s="20">
        <v>1</v>
      </c>
      <c r="M198" s="11">
        <v>4</v>
      </c>
    </row>
    <row r="199" spans="1:13" ht="16.5" customHeight="1">
      <c r="A199" s="8">
        <v>3428</v>
      </c>
      <c r="B199" s="8" t="s">
        <v>223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20">
        <v>30</v>
      </c>
      <c r="J199" s="8" t="s">
        <v>26</v>
      </c>
      <c r="K199" s="20">
        <v>20</v>
      </c>
      <c r="L199" s="20">
        <v>3</v>
      </c>
      <c r="M199" s="11">
        <v>62</v>
      </c>
    </row>
    <row r="200" spans="1:13" ht="16.5" customHeight="1">
      <c r="A200" s="8">
        <v>3429</v>
      </c>
      <c r="B200" s="8" t="s">
        <v>224</v>
      </c>
      <c r="C200" s="8" t="s">
        <v>33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20">
        <v>0</v>
      </c>
      <c r="J200" s="8" t="s">
        <v>26</v>
      </c>
      <c r="K200" s="20">
        <v>20</v>
      </c>
      <c r="L200" s="20">
        <v>10</v>
      </c>
      <c r="M200" s="11">
        <v>20</v>
      </c>
    </row>
    <row r="201" spans="1:13" ht="16.5" customHeight="1">
      <c r="A201" s="8">
        <v>3430</v>
      </c>
      <c r="B201" s="8" t="s">
        <v>225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34</v>
      </c>
      <c r="H201" s="8" t="s">
        <v>30</v>
      </c>
      <c r="I201" s="20">
        <v>0</v>
      </c>
      <c r="J201" s="8" t="s">
        <v>30</v>
      </c>
      <c r="K201" s="20">
        <v>0</v>
      </c>
      <c r="L201" s="20">
        <v>0</v>
      </c>
      <c r="M201" s="11">
        <v>5</v>
      </c>
    </row>
    <row r="202" spans="1:13" ht="16.5" customHeight="1">
      <c r="A202" s="8">
        <v>3431</v>
      </c>
      <c r="B202" s="8" t="s">
        <v>226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20">
        <v>30</v>
      </c>
      <c r="J202" s="8" t="s">
        <v>26</v>
      </c>
      <c r="K202" s="20">
        <v>20</v>
      </c>
      <c r="L202" s="20">
        <v>15</v>
      </c>
      <c r="M202" s="11">
        <v>50</v>
      </c>
    </row>
    <row r="203" spans="1:13" ht="16.5" customHeight="1">
      <c r="A203" s="8">
        <v>3432</v>
      </c>
      <c r="B203" s="8" t="s">
        <v>227</v>
      </c>
      <c r="C203" s="8" t="s">
        <v>33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20">
        <v>0</v>
      </c>
      <c r="J203" s="8" t="s">
        <v>26</v>
      </c>
      <c r="K203" s="20">
        <v>20</v>
      </c>
      <c r="L203" s="20">
        <v>15</v>
      </c>
      <c r="M203" s="11">
        <v>15</v>
      </c>
    </row>
    <row r="204" spans="1:13" ht="16.5" customHeight="1">
      <c r="A204" s="8">
        <v>3433</v>
      </c>
      <c r="B204" s="8" t="s">
        <v>228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20">
        <v>0</v>
      </c>
      <c r="J204" s="8" t="s">
        <v>30</v>
      </c>
      <c r="K204" s="20">
        <v>0</v>
      </c>
      <c r="L204" s="20">
        <v>1</v>
      </c>
      <c r="M204" s="11">
        <v>4</v>
      </c>
    </row>
    <row r="205" spans="1:13" ht="16.5" customHeight="1">
      <c r="A205" s="8">
        <v>3434</v>
      </c>
      <c r="B205" s="8" t="s">
        <v>229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34</v>
      </c>
      <c r="H205" s="8" t="s">
        <v>26</v>
      </c>
      <c r="I205" s="20">
        <v>30</v>
      </c>
      <c r="J205" s="8" t="s">
        <v>26</v>
      </c>
      <c r="K205" s="20">
        <v>20</v>
      </c>
      <c r="L205" s="20">
        <v>7</v>
      </c>
      <c r="M205" s="11">
        <v>58</v>
      </c>
    </row>
    <row r="206" spans="1:13" ht="16.5" customHeight="1">
      <c r="A206" s="8">
        <v>3435</v>
      </c>
      <c r="B206" s="8" t="s">
        <v>230</v>
      </c>
      <c r="C206" s="8" t="s">
        <v>33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20">
        <v>0</v>
      </c>
      <c r="J206" s="8" t="s">
        <v>26</v>
      </c>
      <c r="K206" s="20">
        <v>20</v>
      </c>
      <c r="L206" s="20">
        <v>10</v>
      </c>
      <c r="M206" s="11">
        <v>20</v>
      </c>
    </row>
    <row r="207" spans="1:13" ht="16.5" customHeight="1">
      <c r="A207" s="8">
        <v>3436</v>
      </c>
      <c r="B207" s="8" t="s">
        <v>231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20">
        <v>0</v>
      </c>
      <c r="J207" s="8" t="s">
        <v>30</v>
      </c>
      <c r="K207" s="20">
        <v>0</v>
      </c>
      <c r="L207" s="20">
        <v>0</v>
      </c>
      <c r="M207" s="11">
        <v>5</v>
      </c>
    </row>
    <row r="208" spans="1:13" ht="16.5" customHeight="1">
      <c r="A208" s="8">
        <v>3437</v>
      </c>
      <c r="B208" s="8" t="s">
        <v>232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34</v>
      </c>
      <c r="H208" s="8" t="s">
        <v>26</v>
      </c>
      <c r="I208" s="20">
        <v>30</v>
      </c>
      <c r="J208" s="8" t="s">
        <v>26</v>
      </c>
      <c r="K208" s="20">
        <v>20</v>
      </c>
      <c r="L208" s="20">
        <v>7</v>
      </c>
      <c r="M208" s="11">
        <v>58</v>
      </c>
    </row>
    <row r="209" spans="1:13" ht="16.5" customHeight="1">
      <c r="A209" s="8">
        <v>3438</v>
      </c>
      <c r="B209" s="8" t="s">
        <v>233</v>
      </c>
      <c r="C209" s="8" t="s">
        <v>33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20">
        <v>0</v>
      </c>
      <c r="J209" s="8" t="s">
        <v>26</v>
      </c>
      <c r="K209" s="20">
        <v>20</v>
      </c>
      <c r="L209" s="20">
        <v>10</v>
      </c>
      <c r="M209" s="11">
        <v>20</v>
      </c>
    </row>
    <row r="210" spans="1:13" ht="16.5" customHeight="1">
      <c r="A210" s="8">
        <v>3439</v>
      </c>
      <c r="B210" s="8" t="s">
        <v>234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34</v>
      </c>
      <c r="H210" s="8" t="s">
        <v>30</v>
      </c>
      <c r="I210" s="20">
        <v>0</v>
      </c>
      <c r="J210" s="8" t="s">
        <v>30</v>
      </c>
      <c r="K210" s="20">
        <v>0</v>
      </c>
      <c r="L210" s="20">
        <v>1</v>
      </c>
      <c r="M210" s="11">
        <v>4</v>
      </c>
    </row>
    <row r="211" spans="1:13" ht="16.5" customHeight="1">
      <c r="A211" s="8">
        <v>3440</v>
      </c>
      <c r="B211" s="8" t="s">
        <v>235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20">
        <v>30</v>
      </c>
      <c r="J211" s="8" t="s">
        <v>26</v>
      </c>
      <c r="K211" s="20">
        <v>20</v>
      </c>
      <c r="L211" s="20">
        <v>15</v>
      </c>
      <c r="M211" s="11">
        <v>50</v>
      </c>
    </row>
    <row r="212" spans="1:13" ht="16.5" customHeight="1">
      <c r="A212" s="8">
        <v>3441</v>
      </c>
      <c r="B212" s="8" t="s">
        <v>236</v>
      </c>
      <c r="C212" s="8" t="s">
        <v>33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20">
        <v>0</v>
      </c>
      <c r="J212" s="8" t="s">
        <v>26</v>
      </c>
      <c r="K212" s="20">
        <v>20</v>
      </c>
      <c r="L212" s="20">
        <v>5</v>
      </c>
      <c r="M212" s="11">
        <v>25</v>
      </c>
    </row>
    <row r="213" spans="1:13" ht="16.5" customHeight="1">
      <c r="A213" s="8">
        <v>3442</v>
      </c>
      <c r="B213" s="8" t="s">
        <v>237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20">
        <v>0</v>
      </c>
      <c r="J213" s="8" t="s">
        <v>30</v>
      </c>
      <c r="K213" s="20">
        <v>0</v>
      </c>
      <c r="L213" s="20">
        <v>0</v>
      </c>
      <c r="M213" s="11">
        <v>5</v>
      </c>
    </row>
    <row r="214" spans="1:13" ht="16.5" customHeight="1">
      <c r="A214" s="8">
        <v>3443</v>
      </c>
      <c r="B214" s="8" t="s">
        <v>238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34</v>
      </c>
      <c r="H214" s="8" t="s">
        <v>26</v>
      </c>
      <c r="I214" s="20">
        <v>30</v>
      </c>
      <c r="J214" s="8" t="s">
        <v>26</v>
      </c>
      <c r="K214" s="20">
        <v>20</v>
      </c>
      <c r="L214" s="20">
        <v>20</v>
      </c>
      <c r="M214" s="11">
        <v>45</v>
      </c>
    </row>
    <row r="215" spans="1:13" ht="16.5" customHeight="1">
      <c r="A215" s="8">
        <v>3444</v>
      </c>
      <c r="B215" s="8" t="s">
        <v>239</v>
      </c>
      <c r="C215" s="8" t="s">
        <v>33</v>
      </c>
      <c r="D215" s="10">
        <v>45561</v>
      </c>
      <c r="E215" s="8" t="s">
        <v>26</v>
      </c>
      <c r="F215" s="11">
        <v>10</v>
      </c>
      <c r="G215" s="8" t="s">
        <v>34</v>
      </c>
      <c r="H215" s="8" t="s">
        <v>30</v>
      </c>
      <c r="I215" s="20">
        <v>0</v>
      </c>
      <c r="J215" s="8" t="s">
        <v>26</v>
      </c>
      <c r="K215" s="20">
        <v>20</v>
      </c>
      <c r="L215" s="20">
        <v>12</v>
      </c>
      <c r="M215" s="11">
        <v>18</v>
      </c>
    </row>
    <row r="216" spans="1:13" ht="16.5" customHeight="1">
      <c r="A216" s="8">
        <v>3445</v>
      </c>
      <c r="B216" s="8" t="s">
        <v>69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20">
        <v>0</v>
      </c>
      <c r="J216" s="8" t="s">
        <v>30</v>
      </c>
      <c r="K216" s="20">
        <v>0</v>
      </c>
      <c r="L216" s="20">
        <v>2</v>
      </c>
      <c r="M216" s="11">
        <v>3</v>
      </c>
    </row>
    <row r="217" spans="1:13" ht="16.5" customHeight="1">
      <c r="A217" s="8">
        <v>3446</v>
      </c>
      <c r="B217" s="8" t="s">
        <v>240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20">
        <v>30</v>
      </c>
      <c r="J217" s="8" t="s">
        <v>26</v>
      </c>
      <c r="K217" s="20">
        <v>20</v>
      </c>
      <c r="L217" s="20">
        <v>5</v>
      </c>
      <c r="M217" s="11">
        <v>60</v>
      </c>
    </row>
    <row r="218" spans="1:13" ht="16.5" customHeight="1">
      <c r="A218" s="8">
        <v>3447</v>
      </c>
      <c r="B218" s="8" t="s">
        <v>241</v>
      </c>
      <c r="C218" s="8" t="s">
        <v>33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20">
        <v>0</v>
      </c>
      <c r="J218" s="8" t="s">
        <v>26</v>
      </c>
      <c r="K218" s="20">
        <v>20</v>
      </c>
      <c r="L218" s="20">
        <v>10</v>
      </c>
      <c r="M218" s="11">
        <v>20</v>
      </c>
    </row>
    <row r="219" spans="1:13" ht="16.5" customHeight="1">
      <c r="A219" s="8">
        <v>3448</v>
      </c>
      <c r="B219" s="8" t="s">
        <v>242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34</v>
      </c>
      <c r="H219" s="8" t="s">
        <v>30</v>
      </c>
      <c r="I219" s="20">
        <v>0</v>
      </c>
      <c r="J219" s="8" t="s">
        <v>30</v>
      </c>
      <c r="K219" s="20">
        <v>0</v>
      </c>
      <c r="L219" s="20">
        <v>0</v>
      </c>
      <c r="M219" s="11">
        <v>5</v>
      </c>
    </row>
    <row r="220" spans="1:13" ht="16.5" customHeight="1">
      <c r="A220" s="8">
        <v>3449</v>
      </c>
      <c r="B220" s="8" t="s">
        <v>243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20">
        <v>30</v>
      </c>
      <c r="J220" s="8" t="s">
        <v>26</v>
      </c>
      <c r="K220" s="20">
        <v>20</v>
      </c>
      <c r="L220" s="20">
        <v>3</v>
      </c>
      <c r="M220" s="11">
        <v>62</v>
      </c>
    </row>
    <row r="221" spans="1:13" ht="16.5" customHeight="1">
      <c r="A221" s="8">
        <v>3450</v>
      </c>
      <c r="B221" s="8" t="s">
        <v>244</v>
      </c>
      <c r="C221" s="8" t="s">
        <v>33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20">
        <v>0</v>
      </c>
      <c r="J221" s="8" t="s">
        <v>26</v>
      </c>
      <c r="K221" s="20">
        <v>20</v>
      </c>
      <c r="L221" s="20">
        <v>15</v>
      </c>
      <c r="M221" s="11">
        <v>15</v>
      </c>
    </row>
    <row r="222" spans="1:13" ht="16.5" customHeight="1">
      <c r="A222" s="8">
        <v>3451</v>
      </c>
      <c r="B222" s="8" t="s">
        <v>245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20">
        <v>0</v>
      </c>
      <c r="J222" s="8" t="s">
        <v>30</v>
      </c>
      <c r="K222" s="20">
        <v>0</v>
      </c>
      <c r="L222" s="20">
        <v>1</v>
      </c>
      <c r="M222" s="11">
        <v>4</v>
      </c>
    </row>
    <row r="223" spans="1:13" ht="16.5" customHeight="1">
      <c r="A223" s="8">
        <v>3452</v>
      </c>
      <c r="B223" s="8" t="s">
        <v>223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34</v>
      </c>
      <c r="H223" s="8" t="s">
        <v>26</v>
      </c>
      <c r="I223" s="20">
        <v>30</v>
      </c>
      <c r="J223" s="8" t="s">
        <v>26</v>
      </c>
      <c r="K223" s="20">
        <v>20</v>
      </c>
      <c r="L223" s="20">
        <v>7</v>
      </c>
      <c r="M223" s="11">
        <v>58</v>
      </c>
    </row>
    <row r="224" spans="1:13" ht="16.5" customHeight="1">
      <c r="A224" s="8">
        <v>3453</v>
      </c>
      <c r="B224" s="8" t="s">
        <v>77</v>
      </c>
      <c r="C224" s="8" t="s">
        <v>33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20">
        <v>0</v>
      </c>
      <c r="J224" s="8" t="s">
        <v>26</v>
      </c>
      <c r="K224" s="20">
        <v>20</v>
      </c>
      <c r="L224" s="20">
        <v>10</v>
      </c>
      <c r="M224" s="11">
        <v>20</v>
      </c>
    </row>
    <row r="225" spans="1:13" ht="16.5" customHeight="1">
      <c r="A225" s="8">
        <v>3454</v>
      </c>
      <c r="B225" s="8" t="s">
        <v>246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20">
        <v>0</v>
      </c>
      <c r="J225" s="8" t="s">
        <v>30</v>
      </c>
      <c r="K225" s="20">
        <v>0</v>
      </c>
      <c r="L225" s="20">
        <v>0</v>
      </c>
      <c r="M225" s="11">
        <v>5</v>
      </c>
    </row>
    <row r="226" spans="1:13" ht="16.5" customHeight="1">
      <c r="A226" s="8">
        <v>3455</v>
      </c>
      <c r="B226" s="8" t="s">
        <v>247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20">
        <v>30</v>
      </c>
      <c r="J226" s="8" t="s">
        <v>26</v>
      </c>
      <c r="K226" s="20">
        <v>20</v>
      </c>
      <c r="L226" s="20">
        <v>20</v>
      </c>
      <c r="M226" s="11">
        <v>45</v>
      </c>
    </row>
    <row r="227" spans="1:13" ht="16.5" customHeight="1">
      <c r="A227" s="8">
        <v>3456</v>
      </c>
      <c r="B227" s="8" t="s">
        <v>248</v>
      </c>
      <c r="C227" s="8" t="s">
        <v>33</v>
      </c>
      <c r="D227" s="10">
        <v>45573</v>
      </c>
      <c r="E227" s="8" t="s">
        <v>26</v>
      </c>
      <c r="F227" s="11">
        <v>10</v>
      </c>
      <c r="G227" s="8" t="s">
        <v>34</v>
      </c>
      <c r="H227" s="8" t="s">
        <v>30</v>
      </c>
      <c r="I227" s="20">
        <v>0</v>
      </c>
      <c r="J227" s="8" t="s">
        <v>26</v>
      </c>
      <c r="K227" s="20">
        <v>20</v>
      </c>
      <c r="L227" s="20">
        <v>15</v>
      </c>
      <c r="M227" s="11">
        <v>15</v>
      </c>
    </row>
    <row r="228" spans="1:13" ht="16.5" customHeight="1">
      <c r="A228" s="8">
        <v>3457</v>
      </c>
      <c r="B228" s="8" t="s">
        <v>249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20">
        <v>0</v>
      </c>
      <c r="J228" s="8" t="s">
        <v>30</v>
      </c>
      <c r="K228" s="20">
        <v>0</v>
      </c>
      <c r="L228" s="20">
        <v>1</v>
      </c>
      <c r="M228" s="11">
        <v>4</v>
      </c>
    </row>
    <row r="229" spans="1:13" ht="16.5" customHeight="1">
      <c r="A229" s="8">
        <v>3458</v>
      </c>
      <c r="B229" s="8" t="s">
        <v>250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20">
        <v>30</v>
      </c>
      <c r="J229" s="8" t="s">
        <v>26</v>
      </c>
      <c r="K229" s="20">
        <v>20</v>
      </c>
      <c r="L229" s="20">
        <v>3</v>
      </c>
      <c r="M229" s="11">
        <v>62</v>
      </c>
    </row>
    <row r="230" spans="1:13" ht="16.5" customHeight="1">
      <c r="A230" s="8">
        <v>3459</v>
      </c>
      <c r="B230" s="8" t="s">
        <v>251</v>
      </c>
      <c r="C230" s="8" t="s">
        <v>33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20">
        <v>0</v>
      </c>
      <c r="J230" s="8" t="s">
        <v>26</v>
      </c>
      <c r="K230" s="20">
        <v>20</v>
      </c>
      <c r="L230" s="20">
        <v>10</v>
      </c>
      <c r="M230" s="11">
        <v>20</v>
      </c>
    </row>
    <row r="231" spans="1:13" ht="16.5" customHeight="1">
      <c r="A231" s="8">
        <v>3460</v>
      </c>
      <c r="B231" s="8" t="s">
        <v>159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34</v>
      </c>
      <c r="H231" s="8" t="s">
        <v>30</v>
      </c>
      <c r="I231" s="20">
        <v>0</v>
      </c>
      <c r="J231" s="8" t="s">
        <v>30</v>
      </c>
      <c r="K231" s="20">
        <v>0</v>
      </c>
      <c r="L231" s="20">
        <v>0</v>
      </c>
      <c r="M231" s="11">
        <v>5</v>
      </c>
    </row>
    <row r="232" spans="1:13" ht="16.5" customHeight="1">
      <c r="A232" s="8">
        <v>3461</v>
      </c>
      <c r="B232" s="8" t="s">
        <v>252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20">
        <v>30</v>
      </c>
      <c r="J232" s="8" t="s">
        <v>26</v>
      </c>
      <c r="K232" s="20">
        <v>20</v>
      </c>
      <c r="L232" s="20">
        <v>15</v>
      </c>
      <c r="M232" s="11">
        <v>50</v>
      </c>
    </row>
    <row r="233" spans="1:13" ht="16.5" customHeight="1">
      <c r="A233" s="8">
        <v>3462</v>
      </c>
      <c r="B233" s="8" t="s">
        <v>253</v>
      </c>
      <c r="C233" s="8" t="s">
        <v>33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20">
        <v>0</v>
      </c>
      <c r="J233" s="8" t="s">
        <v>26</v>
      </c>
      <c r="K233" s="20">
        <v>20</v>
      </c>
      <c r="L233" s="20">
        <v>15</v>
      </c>
      <c r="M233" s="11">
        <v>15</v>
      </c>
    </row>
    <row r="234" spans="1:13" ht="16.5" customHeight="1">
      <c r="A234" s="8">
        <v>3463</v>
      </c>
      <c r="B234" s="8" t="s">
        <v>254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20">
        <v>0</v>
      </c>
      <c r="J234" s="8" t="s">
        <v>30</v>
      </c>
      <c r="K234" s="20">
        <v>0</v>
      </c>
      <c r="L234" s="20">
        <v>1</v>
      </c>
      <c r="M234" s="11">
        <v>4</v>
      </c>
    </row>
    <row r="235" spans="1:13" ht="16.5" customHeight="1">
      <c r="A235" s="8">
        <v>3464</v>
      </c>
      <c r="B235" s="8" t="s">
        <v>255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34</v>
      </c>
      <c r="H235" s="8" t="s">
        <v>26</v>
      </c>
      <c r="I235" s="20">
        <v>30</v>
      </c>
      <c r="J235" s="8" t="s">
        <v>26</v>
      </c>
      <c r="K235" s="20">
        <v>20</v>
      </c>
      <c r="L235" s="20">
        <v>7</v>
      </c>
      <c r="M235" s="11">
        <v>58</v>
      </c>
    </row>
    <row r="236" spans="1:13" ht="16.5" customHeight="1">
      <c r="A236" s="8">
        <v>3465</v>
      </c>
      <c r="B236" s="8" t="s">
        <v>256</v>
      </c>
      <c r="C236" s="8" t="s">
        <v>33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20">
        <v>0</v>
      </c>
      <c r="J236" s="8" t="s">
        <v>26</v>
      </c>
      <c r="K236" s="20">
        <v>20</v>
      </c>
      <c r="L236" s="20">
        <v>10</v>
      </c>
      <c r="M236" s="11">
        <v>20</v>
      </c>
    </row>
    <row r="237" spans="1:13" ht="16.5" customHeight="1">
      <c r="A237" s="8">
        <v>3466</v>
      </c>
      <c r="B237" s="8" t="s">
        <v>257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20">
        <v>0</v>
      </c>
      <c r="J237" s="8" t="s">
        <v>30</v>
      </c>
      <c r="K237" s="20">
        <v>0</v>
      </c>
      <c r="L237" s="20">
        <v>0</v>
      </c>
      <c r="M237" s="11">
        <v>5</v>
      </c>
    </row>
    <row r="238" spans="1:13" ht="16.5" customHeight="1">
      <c r="A238" s="8">
        <v>3467</v>
      </c>
      <c r="B238" s="8" t="s">
        <v>258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20">
        <v>30</v>
      </c>
      <c r="J238" s="8" t="s">
        <v>26</v>
      </c>
      <c r="K238" s="20">
        <v>20</v>
      </c>
      <c r="L238" s="20">
        <v>15</v>
      </c>
      <c r="M238" s="11">
        <v>50</v>
      </c>
    </row>
    <row r="239" spans="1:13" ht="16.5" customHeight="1">
      <c r="A239" s="8">
        <v>3468</v>
      </c>
      <c r="B239" s="8" t="s">
        <v>259</v>
      </c>
      <c r="C239" s="8" t="s">
        <v>33</v>
      </c>
      <c r="D239" s="10">
        <v>45585</v>
      </c>
      <c r="E239" s="8" t="s">
        <v>26</v>
      </c>
      <c r="F239" s="11">
        <v>10</v>
      </c>
      <c r="G239" s="8" t="s">
        <v>34</v>
      </c>
      <c r="H239" s="8" t="s">
        <v>30</v>
      </c>
      <c r="I239" s="20">
        <v>0</v>
      </c>
      <c r="J239" s="8" t="s">
        <v>26</v>
      </c>
      <c r="K239" s="20">
        <v>20</v>
      </c>
      <c r="L239" s="20">
        <v>12</v>
      </c>
      <c r="M239" s="11">
        <v>18</v>
      </c>
    </row>
    <row r="240" spans="1:13" ht="16.5" customHeight="1">
      <c r="A240" s="8">
        <v>3469</v>
      </c>
      <c r="B240" s="8" t="s">
        <v>260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20">
        <v>0</v>
      </c>
      <c r="J240" s="8" t="s">
        <v>30</v>
      </c>
      <c r="K240" s="20">
        <v>0</v>
      </c>
      <c r="L240" s="20">
        <v>2</v>
      </c>
      <c r="M240" s="11">
        <v>3</v>
      </c>
    </row>
    <row r="241" spans="1:13" ht="16.5" customHeight="1">
      <c r="A241" s="8">
        <v>3470</v>
      </c>
      <c r="B241" s="8" t="s">
        <v>261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20">
        <v>30</v>
      </c>
      <c r="J241" s="8" t="s">
        <v>26</v>
      </c>
      <c r="K241" s="20">
        <v>20</v>
      </c>
      <c r="L241" s="20">
        <v>5</v>
      </c>
      <c r="M241" s="11">
        <v>60</v>
      </c>
    </row>
    <row r="242" spans="1:13" ht="16.5" customHeight="1">
      <c r="A242" s="8">
        <v>3471</v>
      </c>
      <c r="B242" s="8" t="s">
        <v>262</v>
      </c>
      <c r="C242" s="8" t="s">
        <v>33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20">
        <v>0</v>
      </c>
      <c r="J242" s="8" t="s">
        <v>26</v>
      </c>
      <c r="K242" s="20">
        <v>20</v>
      </c>
      <c r="L242" s="20">
        <v>10</v>
      </c>
      <c r="M242" s="11">
        <v>20</v>
      </c>
    </row>
    <row r="243" spans="1:13" ht="16.5" customHeight="1">
      <c r="A243" s="8">
        <v>3472</v>
      </c>
      <c r="B243" s="8" t="s">
        <v>263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34</v>
      </c>
      <c r="H243" s="8" t="s">
        <v>30</v>
      </c>
      <c r="I243" s="20">
        <v>0</v>
      </c>
      <c r="J243" s="8" t="s">
        <v>30</v>
      </c>
      <c r="K243" s="20">
        <v>0</v>
      </c>
      <c r="L243" s="20">
        <v>0</v>
      </c>
      <c r="M243" s="11">
        <v>5</v>
      </c>
    </row>
    <row r="244" spans="1:13" ht="16.5" customHeight="1">
      <c r="A244" s="8">
        <v>3473</v>
      </c>
      <c r="B244" s="8" t="s">
        <v>172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20">
        <v>30</v>
      </c>
      <c r="J244" s="8" t="s">
        <v>26</v>
      </c>
      <c r="K244" s="20">
        <v>20</v>
      </c>
      <c r="L244" s="20">
        <v>3</v>
      </c>
      <c r="M244" s="11">
        <v>62</v>
      </c>
    </row>
    <row r="245" spans="1:13" ht="16.5" customHeight="1">
      <c r="A245" s="8">
        <v>3474</v>
      </c>
      <c r="B245" s="8" t="s">
        <v>264</v>
      </c>
      <c r="C245" s="8" t="s">
        <v>33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20">
        <v>0</v>
      </c>
      <c r="J245" s="8" t="s">
        <v>26</v>
      </c>
      <c r="K245" s="20">
        <v>20</v>
      </c>
      <c r="L245" s="20">
        <v>15</v>
      </c>
      <c r="M245" s="11">
        <v>15</v>
      </c>
    </row>
    <row r="246" spans="1:13" ht="16.5" customHeight="1">
      <c r="A246" s="8">
        <v>3475</v>
      </c>
      <c r="B246" s="8" t="s">
        <v>265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20">
        <v>0</v>
      </c>
      <c r="J246" s="8" t="s">
        <v>30</v>
      </c>
      <c r="K246" s="20">
        <v>0</v>
      </c>
      <c r="L246" s="20">
        <v>1</v>
      </c>
      <c r="M246" s="11">
        <v>4</v>
      </c>
    </row>
    <row r="247" spans="1:13" ht="16.5" customHeight="1">
      <c r="A247" s="8">
        <v>3476</v>
      </c>
      <c r="B247" s="8" t="s">
        <v>266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34</v>
      </c>
      <c r="H247" s="8" t="s">
        <v>26</v>
      </c>
      <c r="I247" s="20">
        <v>30</v>
      </c>
      <c r="J247" s="8" t="s">
        <v>26</v>
      </c>
      <c r="K247" s="20">
        <v>20</v>
      </c>
      <c r="L247" s="20">
        <v>7</v>
      </c>
      <c r="M247" s="11">
        <v>58</v>
      </c>
    </row>
    <row r="248" spans="1:13" ht="16.5" customHeight="1">
      <c r="A248" s="8">
        <v>3477</v>
      </c>
      <c r="B248" s="8" t="s">
        <v>267</v>
      </c>
      <c r="C248" s="8" t="s">
        <v>33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20">
        <v>0</v>
      </c>
      <c r="J248" s="8" t="s">
        <v>26</v>
      </c>
      <c r="K248" s="20">
        <v>20</v>
      </c>
      <c r="L248" s="20">
        <v>10</v>
      </c>
      <c r="M248" s="11">
        <v>20</v>
      </c>
    </row>
    <row r="249" spans="1:13" ht="16.5" customHeight="1">
      <c r="A249" s="8">
        <v>3478</v>
      </c>
      <c r="B249" s="8" t="s">
        <v>268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20">
        <v>0</v>
      </c>
      <c r="J249" s="8" t="s">
        <v>30</v>
      </c>
      <c r="K249" s="20">
        <v>0</v>
      </c>
      <c r="L249" s="20">
        <v>0</v>
      </c>
      <c r="M249" s="11">
        <v>5</v>
      </c>
    </row>
    <row r="250" spans="1:13" ht="16.5" customHeight="1">
      <c r="A250" s="8">
        <v>3479</v>
      </c>
      <c r="B250" s="8" t="s">
        <v>269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20">
        <v>30</v>
      </c>
      <c r="J250" s="8" t="s">
        <v>26</v>
      </c>
      <c r="K250" s="20">
        <v>20</v>
      </c>
      <c r="L250" s="20">
        <v>20</v>
      </c>
      <c r="M250" s="11">
        <v>45</v>
      </c>
    </row>
    <row r="251" spans="1:13" ht="16.5" customHeight="1">
      <c r="A251" s="8">
        <v>3480</v>
      </c>
      <c r="B251" s="8" t="s">
        <v>270</v>
      </c>
      <c r="C251" s="8" t="s">
        <v>33</v>
      </c>
      <c r="D251" s="10">
        <v>45597</v>
      </c>
      <c r="E251" s="8" t="s">
        <v>26</v>
      </c>
      <c r="F251" s="11">
        <v>10</v>
      </c>
      <c r="G251" s="8" t="s">
        <v>34</v>
      </c>
      <c r="H251" s="8" t="s">
        <v>30</v>
      </c>
      <c r="I251" s="20">
        <v>0</v>
      </c>
      <c r="J251" s="8" t="s">
        <v>26</v>
      </c>
      <c r="K251" s="20">
        <v>20</v>
      </c>
      <c r="L251" s="20">
        <v>15</v>
      </c>
      <c r="M251" s="11">
        <v>15</v>
      </c>
    </row>
    <row r="252" spans="1:13" ht="16.5" customHeight="1">
      <c r="A252" s="8">
        <v>3481</v>
      </c>
      <c r="B252" s="8" t="s">
        <v>271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20">
        <v>0</v>
      </c>
      <c r="J252" s="8" t="s">
        <v>30</v>
      </c>
      <c r="K252" s="20">
        <v>0</v>
      </c>
      <c r="L252" s="20">
        <v>1</v>
      </c>
      <c r="M252" s="11">
        <v>4</v>
      </c>
    </row>
    <row r="253" spans="1:13" ht="16.5" customHeight="1">
      <c r="A253" s="8">
        <v>3482</v>
      </c>
      <c r="B253" s="8" t="s">
        <v>272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20">
        <v>30</v>
      </c>
      <c r="J253" s="8" t="s">
        <v>26</v>
      </c>
      <c r="K253" s="20">
        <v>20</v>
      </c>
      <c r="L253" s="20">
        <v>3</v>
      </c>
      <c r="M253" s="11">
        <v>62</v>
      </c>
    </row>
    <row r="254" spans="1:13" ht="16.5" customHeight="1">
      <c r="A254" s="8">
        <v>3483</v>
      </c>
      <c r="B254" s="8" t="s">
        <v>273</v>
      </c>
      <c r="C254" s="8" t="s">
        <v>33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20">
        <v>0</v>
      </c>
      <c r="J254" s="8" t="s">
        <v>26</v>
      </c>
      <c r="K254" s="20">
        <v>20</v>
      </c>
      <c r="L254" s="20">
        <v>10</v>
      </c>
      <c r="M254" s="11">
        <v>20</v>
      </c>
    </row>
    <row r="255" spans="1:13" ht="16.5" customHeight="1">
      <c r="A255" s="8">
        <v>3484</v>
      </c>
      <c r="B255" s="8" t="s">
        <v>274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34</v>
      </c>
      <c r="H255" s="8" t="s">
        <v>30</v>
      </c>
      <c r="I255" s="20">
        <v>0</v>
      </c>
      <c r="J255" s="8" t="s">
        <v>30</v>
      </c>
      <c r="K255" s="20">
        <v>0</v>
      </c>
      <c r="L255" s="20">
        <v>0</v>
      </c>
      <c r="M255" s="11">
        <v>5</v>
      </c>
    </row>
    <row r="256" spans="1:13" ht="16.5" customHeight="1">
      <c r="A256" s="8">
        <v>3485</v>
      </c>
      <c r="B256" s="8" t="s">
        <v>275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20">
        <v>30</v>
      </c>
      <c r="J256" s="8" t="s">
        <v>26</v>
      </c>
      <c r="K256" s="20">
        <v>20</v>
      </c>
      <c r="L256" s="20">
        <v>15</v>
      </c>
      <c r="M256" s="11">
        <v>50</v>
      </c>
    </row>
    <row r="257" spans="1:13" ht="16.5" customHeight="1">
      <c r="A257" s="8">
        <v>3486</v>
      </c>
      <c r="B257" s="8" t="s">
        <v>276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20">
        <v>0</v>
      </c>
      <c r="J257" s="8" t="s">
        <v>30</v>
      </c>
      <c r="K257" s="20">
        <v>0</v>
      </c>
      <c r="L257" s="20">
        <v>0</v>
      </c>
      <c r="M257" s="11">
        <v>5</v>
      </c>
    </row>
    <row r="258" spans="1:13" ht="16.5" customHeight="1">
      <c r="A258" s="8">
        <v>3487</v>
      </c>
      <c r="B258" s="8" t="s">
        <v>277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34</v>
      </c>
      <c r="H258" s="8" t="s">
        <v>26</v>
      </c>
      <c r="I258" s="20">
        <v>30</v>
      </c>
      <c r="J258" s="8" t="s">
        <v>26</v>
      </c>
      <c r="K258" s="20">
        <v>20</v>
      </c>
      <c r="L258" s="20">
        <v>7</v>
      </c>
      <c r="M258" s="11">
        <v>58</v>
      </c>
    </row>
    <row r="259" spans="1:13" ht="16.5" customHeight="1">
      <c r="A259" s="8">
        <v>3488</v>
      </c>
      <c r="B259" s="8" t="s">
        <v>278</v>
      </c>
      <c r="C259" s="8" t="s">
        <v>33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20">
        <v>0</v>
      </c>
      <c r="J259" s="8" t="s">
        <v>26</v>
      </c>
      <c r="K259" s="20">
        <v>20</v>
      </c>
      <c r="L259" s="20">
        <v>10</v>
      </c>
      <c r="M259" s="11">
        <v>20</v>
      </c>
    </row>
    <row r="260" spans="1:13" ht="16.5" customHeight="1">
      <c r="A260" s="8">
        <v>3489</v>
      </c>
      <c r="B260" s="8" t="s">
        <v>279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34</v>
      </c>
      <c r="H260" s="8" t="s">
        <v>30</v>
      </c>
      <c r="I260" s="20">
        <v>0</v>
      </c>
      <c r="J260" s="8" t="s">
        <v>30</v>
      </c>
      <c r="K260" s="20">
        <v>0</v>
      </c>
      <c r="L260" s="20">
        <v>1</v>
      </c>
      <c r="M260" s="11">
        <v>4</v>
      </c>
    </row>
    <row r="261" spans="1:13" ht="16.5" customHeight="1">
      <c r="A261" s="8">
        <v>3490</v>
      </c>
      <c r="B261" s="8" t="s">
        <v>280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20">
        <v>30</v>
      </c>
      <c r="J261" s="8" t="s">
        <v>26</v>
      </c>
      <c r="K261" s="20">
        <v>20</v>
      </c>
      <c r="L261" s="20">
        <v>15</v>
      </c>
      <c r="M261" s="11">
        <v>50</v>
      </c>
    </row>
    <row r="262" spans="1:13" ht="16.5" customHeight="1">
      <c r="A262" s="8">
        <v>3491</v>
      </c>
      <c r="B262" s="8" t="s">
        <v>281</v>
      </c>
      <c r="C262" s="8" t="s">
        <v>33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20">
        <v>0</v>
      </c>
      <c r="J262" s="8" t="s">
        <v>26</v>
      </c>
      <c r="K262" s="20">
        <v>20</v>
      </c>
      <c r="L262" s="20">
        <v>5</v>
      </c>
      <c r="M262" s="11">
        <v>25</v>
      </c>
    </row>
    <row r="263" spans="1:13" ht="16.5" customHeight="1">
      <c r="A263" s="8">
        <v>3492</v>
      </c>
      <c r="B263" s="8" t="s">
        <v>282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20">
        <v>0</v>
      </c>
      <c r="J263" s="8" t="s">
        <v>30</v>
      </c>
      <c r="K263" s="20">
        <v>0</v>
      </c>
      <c r="L263" s="20">
        <v>0</v>
      </c>
      <c r="M263" s="11">
        <v>5</v>
      </c>
    </row>
    <row r="264" spans="1:13" ht="16.5" customHeight="1">
      <c r="A264" s="8">
        <v>3493</v>
      </c>
      <c r="B264" s="8" t="s">
        <v>283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34</v>
      </c>
      <c r="H264" s="8" t="s">
        <v>26</v>
      </c>
      <c r="I264" s="20">
        <v>30</v>
      </c>
      <c r="J264" s="8" t="s">
        <v>26</v>
      </c>
      <c r="K264" s="20">
        <v>20</v>
      </c>
      <c r="L264" s="20">
        <v>20</v>
      </c>
      <c r="M264" s="11">
        <v>45</v>
      </c>
    </row>
    <row r="265" spans="1:13" ht="16.5" customHeight="1">
      <c r="A265" s="8">
        <v>3494</v>
      </c>
      <c r="B265" s="8" t="s">
        <v>284</v>
      </c>
      <c r="C265" s="8" t="s">
        <v>33</v>
      </c>
      <c r="D265" s="10">
        <v>45611</v>
      </c>
      <c r="E265" s="8" t="s">
        <v>26</v>
      </c>
      <c r="F265" s="11">
        <v>10</v>
      </c>
      <c r="G265" s="8" t="s">
        <v>34</v>
      </c>
      <c r="H265" s="8" t="s">
        <v>30</v>
      </c>
      <c r="I265" s="20">
        <v>0</v>
      </c>
      <c r="J265" s="8" t="s">
        <v>26</v>
      </c>
      <c r="K265" s="20">
        <v>20</v>
      </c>
      <c r="L265" s="20">
        <v>12</v>
      </c>
      <c r="M265" s="11">
        <v>18</v>
      </c>
    </row>
    <row r="266" spans="1:13" ht="16.5" customHeight="1">
      <c r="A266" s="8">
        <v>3495</v>
      </c>
      <c r="B266" s="8" t="s">
        <v>285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20">
        <v>0</v>
      </c>
      <c r="J266" s="8" t="s">
        <v>30</v>
      </c>
      <c r="K266" s="20">
        <v>0</v>
      </c>
      <c r="L266" s="20">
        <v>2</v>
      </c>
      <c r="M266" s="11">
        <v>3</v>
      </c>
    </row>
    <row r="267" spans="1:13" ht="16.5" customHeight="1">
      <c r="A267" s="8">
        <v>3496</v>
      </c>
      <c r="B267" s="8" t="s">
        <v>286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20">
        <v>30</v>
      </c>
      <c r="J267" s="8" t="s">
        <v>26</v>
      </c>
      <c r="K267" s="20">
        <v>20</v>
      </c>
      <c r="L267" s="20">
        <v>5</v>
      </c>
      <c r="M267" s="11">
        <v>60</v>
      </c>
    </row>
    <row r="268" spans="1:13" ht="16.5" customHeight="1">
      <c r="A268" s="8">
        <v>3497</v>
      </c>
      <c r="B268" s="8" t="s">
        <v>287</v>
      </c>
      <c r="C268" s="8" t="s">
        <v>33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20">
        <v>0</v>
      </c>
      <c r="J268" s="8" t="s">
        <v>26</v>
      </c>
      <c r="K268" s="20">
        <v>20</v>
      </c>
      <c r="L268" s="20">
        <v>10</v>
      </c>
      <c r="M268" s="11">
        <v>20</v>
      </c>
    </row>
    <row r="269" spans="1:13" ht="16.5" customHeight="1">
      <c r="A269" s="8">
        <v>3498</v>
      </c>
      <c r="B269" s="8" t="s">
        <v>288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34</v>
      </c>
      <c r="H269" s="8" t="s">
        <v>30</v>
      </c>
      <c r="I269" s="20">
        <v>0</v>
      </c>
      <c r="J269" s="8" t="s">
        <v>30</v>
      </c>
      <c r="K269" s="20">
        <v>0</v>
      </c>
      <c r="L269" s="20">
        <v>0</v>
      </c>
      <c r="M269" s="11">
        <v>5</v>
      </c>
    </row>
    <row r="270" spans="1:13" ht="16.5" customHeight="1">
      <c r="A270" s="8">
        <v>3499</v>
      </c>
      <c r="B270" s="8" t="s">
        <v>289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20">
        <v>30</v>
      </c>
      <c r="J270" s="8" t="s">
        <v>26</v>
      </c>
      <c r="K270" s="20">
        <v>20</v>
      </c>
      <c r="L270" s="20">
        <v>3</v>
      </c>
      <c r="M270" s="11">
        <v>62</v>
      </c>
    </row>
    <row r="271" spans="1:13" ht="16.5" customHeight="1">
      <c r="A271" s="8">
        <v>3500</v>
      </c>
      <c r="B271" s="8" t="s">
        <v>290</v>
      </c>
      <c r="C271" s="8" t="s">
        <v>33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20">
        <v>0</v>
      </c>
      <c r="J271" s="8" t="s">
        <v>26</v>
      </c>
      <c r="K271" s="20">
        <v>20</v>
      </c>
      <c r="L271" s="20">
        <v>15</v>
      </c>
      <c r="M271" s="11">
        <v>15</v>
      </c>
    </row>
    <row r="272" spans="1:13" ht="16.5" customHeight="1">
      <c r="A272" s="8">
        <v>3501</v>
      </c>
      <c r="B272" s="8" t="s">
        <v>291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20">
        <v>0</v>
      </c>
      <c r="J272" s="8" t="s">
        <v>30</v>
      </c>
      <c r="K272" s="20">
        <v>0</v>
      </c>
      <c r="L272" s="20">
        <v>1</v>
      </c>
      <c r="M272" s="11">
        <v>4</v>
      </c>
    </row>
    <row r="273" spans="1:13" ht="16.5" customHeight="1">
      <c r="A273" s="8">
        <v>3502</v>
      </c>
      <c r="B273" s="8" t="s">
        <v>292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34</v>
      </c>
      <c r="H273" s="8" t="s">
        <v>26</v>
      </c>
      <c r="I273" s="20">
        <v>30</v>
      </c>
      <c r="J273" s="8" t="s">
        <v>26</v>
      </c>
      <c r="K273" s="20">
        <v>20</v>
      </c>
      <c r="L273" s="20">
        <v>7</v>
      </c>
      <c r="M273" s="11">
        <v>58</v>
      </c>
    </row>
    <row r="274" spans="1:13" ht="16.5" customHeight="1">
      <c r="A274" s="8">
        <v>3503</v>
      </c>
      <c r="B274" s="8" t="s">
        <v>151</v>
      </c>
      <c r="C274" s="8" t="s">
        <v>33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20">
        <v>0</v>
      </c>
      <c r="J274" s="8" t="s">
        <v>26</v>
      </c>
      <c r="K274" s="20">
        <v>20</v>
      </c>
      <c r="L274" s="20">
        <v>10</v>
      </c>
      <c r="M274" s="11">
        <v>20</v>
      </c>
    </row>
    <row r="275" spans="1:13" ht="16.5" customHeight="1">
      <c r="A275" s="8">
        <v>3504</v>
      </c>
      <c r="B275" s="8" t="s">
        <v>293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20">
        <v>0</v>
      </c>
      <c r="J275" s="8" t="s">
        <v>30</v>
      </c>
      <c r="K275" s="20">
        <v>0</v>
      </c>
      <c r="L275" s="20">
        <v>0</v>
      </c>
      <c r="M275" s="11">
        <v>5</v>
      </c>
    </row>
    <row r="276" spans="1:13" ht="16.5" customHeight="1">
      <c r="A276" s="8">
        <v>3505</v>
      </c>
      <c r="B276" s="8" t="s">
        <v>294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20">
        <v>30</v>
      </c>
      <c r="J276" s="8" t="s">
        <v>26</v>
      </c>
      <c r="K276" s="20">
        <v>20</v>
      </c>
      <c r="L276" s="20">
        <v>20</v>
      </c>
      <c r="M276" s="11">
        <v>45</v>
      </c>
    </row>
    <row r="277" spans="1:13" ht="16.5" customHeight="1">
      <c r="A277" s="8">
        <v>3506</v>
      </c>
      <c r="B277" s="8" t="s">
        <v>295</v>
      </c>
      <c r="C277" s="8" t="s">
        <v>33</v>
      </c>
      <c r="D277" s="10">
        <v>45623</v>
      </c>
      <c r="E277" s="8" t="s">
        <v>26</v>
      </c>
      <c r="F277" s="11">
        <v>10</v>
      </c>
      <c r="G277" s="8" t="s">
        <v>34</v>
      </c>
      <c r="H277" s="8" t="s">
        <v>30</v>
      </c>
      <c r="I277" s="20">
        <v>0</v>
      </c>
      <c r="J277" s="8" t="s">
        <v>26</v>
      </c>
      <c r="K277" s="20">
        <v>20</v>
      </c>
      <c r="L277" s="20">
        <v>15</v>
      </c>
      <c r="M277" s="11">
        <v>15</v>
      </c>
    </row>
    <row r="278" spans="1:13" ht="16.5" customHeight="1">
      <c r="A278" s="8">
        <v>3507</v>
      </c>
      <c r="B278" s="8" t="s">
        <v>296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20">
        <v>0</v>
      </c>
      <c r="J278" s="8" t="s">
        <v>30</v>
      </c>
      <c r="K278" s="20">
        <v>0</v>
      </c>
      <c r="L278" s="20">
        <v>1</v>
      </c>
      <c r="M278" s="11">
        <v>4</v>
      </c>
    </row>
    <row r="279" spans="1:13" ht="16.5" customHeight="1">
      <c r="A279" s="8">
        <v>3508</v>
      </c>
      <c r="B279" s="8" t="s">
        <v>297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20">
        <v>30</v>
      </c>
      <c r="J279" s="8" t="s">
        <v>26</v>
      </c>
      <c r="K279" s="20">
        <v>20</v>
      </c>
      <c r="L279" s="20">
        <v>3</v>
      </c>
      <c r="M279" s="11">
        <v>62</v>
      </c>
    </row>
    <row r="280" spans="1:13" ht="16.5" customHeight="1">
      <c r="A280" s="8">
        <v>3509</v>
      </c>
      <c r="B280" s="8" t="s">
        <v>298</v>
      </c>
      <c r="C280" s="8" t="s">
        <v>33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20">
        <v>0</v>
      </c>
      <c r="J280" s="8" t="s">
        <v>26</v>
      </c>
      <c r="K280" s="20">
        <v>20</v>
      </c>
      <c r="L280" s="20">
        <v>10</v>
      </c>
      <c r="M280" s="11">
        <v>20</v>
      </c>
    </row>
    <row r="281" spans="1:13" ht="16.5" customHeight="1">
      <c r="A281" s="8">
        <v>3510</v>
      </c>
      <c r="B281" s="8" t="s">
        <v>299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34</v>
      </c>
      <c r="H281" s="8" t="s">
        <v>30</v>
      </c>
      <c r="I281" s="20">
        <v>0</v>
      </c>
      <c r="J281" s="8" t="s">
        <v>30</v>
      </c>
      <c r="K281" s="20">
        <v>0</v>
      </c>
      <c r="L281" s="20">
        <v>0</v>
      </c>
      <c r="M281" s="11">
        <v>5</v>
      </c>
    </row>
    <row r="282" spans="1:13" ht="16.5" customHeight="1">
      <c r="A282" s="8">
        <v>3511</v>
      </c>
      <c r="B282" s="8" t="s">
        <v>300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20">
        <v>30</v>
      </c>
      <c r="J282" s="8" t="s">
        <v>26</v>
      </c>
      <c r="K282" s="20">
        <v>20</v>
      </c>
      <c r="L282" s="20">
        <v>15</v>
      </c>
      <c r="M282" s="11">
        <v>50</v>
      </c>
    </row>
    <row r="283" spans="1:13" ht="16.5" customHeight="1">
      <c r="A283" s="8">
        <v>3512</v>
      </c>
      <c r="B283" s="8" t="s">
        <v>301</v>
      </c>
      <c r="C283" s="8" t="s">
        <v>33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20">
        <v>0</v>
      </c>
      <c r="J283" s="8" t="s">
        <v>26</v>
      </c>
      <c r="K283" s="20">
        <v>20</v>
      </c>
      <c r="L283" s="20">
        <v>15</v>
      </c>
      <c r="M283" s="11">
        <v>15</v>
      </c>
    </row>
    <row r="284" spans="1:13" ht="16.5" customHeight="1">
      <c r="A284" s="8">
        <v>3513</v>
      </c>
      <c r="B284" s="8" t="s">
        <v>302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20">
        <v>0</v>
      </c>
      <c r="J284" s="8" t="s">
        <v>30</v>
      </c>
      <c r="K284" s="20">
        <v>0</v>
      </c>
      <c r="L284" s="20">
        <v>1</v>
      </c>
      <c r="M284" s="11">
        <v>4</v>
      </c>
    </row>
    <row r="285" spans="1:13" ht="16.5" customHeight="1">
      <c r="A285" s="8">
        <v>3514</v>
      </c>
      <c r="B285" s="8" t="s">
        <v>303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34</v>
      </c>
      <c r="H285" s="8" t="s">
        <v>26</v>
      </c>
      <c r="I285" s="20">
        <v>30</v>
      </c>
      <c r="J285" s="8" t="s">
        <v>26</v>
      </c>
      <c r="K285" s="20">
        <v>20</v>
      </c>
      <c r="L285" s="20">
        <v>7</v>
      </c>
      <c r="M285" s="11">
        <v>58</v>
      </c>
    </row>
    <row r="286" spans="1:13" ht="16.5" customHeight="1">
      <c r="A286" s="8">
        <v>3515</v>
      </c>
      <c r="B286" s="8" t="s">
        <v>162</v>
      </c>
      <c r="C286" s="8" t="s">
        <v>33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20">
        <v>0</v>
      </c>
      <c r="J286" s="8" t="s">
        <v>26</v>
      </c>
      <c r="K286" s="20">
        <v>20</v>
      </c>
      <c r="L286" s="20">
        <v>10</v>
      </c>
      <c r="M286" s="11">
        <v>20</v>
      </c>
    </row>
    <row r="287" spans="1:13" ht="16.5" customHeight="1">
      <c r="A287" s="8">
        <v>3516</v>
      </c>
      <c r="B287" s="8" t="s">
        <v>163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20">
        <v>0</v>
      </c>
      <c r="J287" s="8" t="s">
        <v>30</v>
      </c>
      <c r="K287" s="20">
        <v>0</v>
      </c>
      <c r="L287" s="20">
        <v>0</v>
      </c>
      <c r="M287" s="11">
        <v>5</v>
      </c>
    </row>
    <row r="288" spans="1:13" ht="16.5" customHeight="1">
      <c r="A288" s="8">
        <v>3517</v>
      </c>
      <c r="B288" s="8" t="s">
        <v>213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20">
        <v>30</v>
      </c>
      <c r="J288" s="8" t="s">
        <v>26</v>
      </c>
      <c r="K288" s="20">
        <v>20</v>
      </c>
      <c r="L288" s="20">
        <v>20</v>
      </c>
      <c r="M288" s="11">
        <v>45</v>
      </c>
    </row>
    <row r="289" spans="1:13" ht="16.5" customHeight="1">
      <c r="A289" s="8">
        <v>3518</v>
      </c>
      <c r="B289" s="8" t="s">
        <v>304</v>
      </c>
      <c r="C289" s="8" t="s">
        <v>33</v>
      </c>
      <c r="D289" s="10">
        <v>45635</v>
      </c>
      <c r="E289" s="8" t="s">
        <v>26</v>
      </c>
      <c r="F289" s="11">
        <v>10</v>
      </c>
      <c r="G289" s="8" t="s">
        <v>34</v>
      </c>
      <c r="H289" s="8" t="s">
        <v>30</v>
      </c>
      <c r="I289" s="20">
        <v>0</v>
      </c>
      <c r="J289" s="8" t="s">
        <v>26</v>
      </c>
      <c r="K289" s="20">
        <v>20</v>
      </c>
      <c r="L289" s="20">
        <v>12</v>
      </c>
      <c r="M289" s="11">
        <v>18</v>
      </c>
    </row>
    <row r="290" spans="1:13" ht="16.5" customHeight="1">
      <c r="A290" s="8">
        <v>3519</v>
      </c>
      <c r="B290" s="8" t="s">
        <v>305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20">
        <v>0</v>
      </c>
      <c r="J290" s="8" t="s">
        <v>30</v>
      </c>
      <c r="K290" s="20">
        <v>0</v>
      </c>
      <c r="L290" s="20">
        <v>2</v>
      </c>
      <c r="M290" s="11">
        <v>3</v>
      </c>
    </row>
    <row r="291" spans="1:13" ht="16.5" customHeight="1">
      <c r="A291" s="8">
        <v>3520</v>
      </c>
      <c r="B291" s="8" t="s">
        <v>306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20">
        <v>30</v>
      </c>
      <c r="J291" s="8" t="s">
        <v>26</v>
      </c>
      <c r="K291" s="20">
        <v>20</v>
      </c>
      <c r="L291" s="20">
        <v>5</v>
      </c>
      <c r="M291" s="11">
        <v>60</v>
      </c>
    </row>
    <row r="292" spans="1:13" ht="16.5" customHeight="1">
      <c r="A292" s="8">
        <v>3521</v>
      </c>
      <c r="B292" s="8" t="s">
        <v>307</v>
      </c>
      <c r="C292" s="8" t="s">
        <v>33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20">
        <v>0</v>
      </c>
      <c r="J292" s="8" t="s">
        <v>26</v>
      </c>
      <c r="K292" s="20">
        <v>20</v>
      </c>
      <c r="L292" s="20">
        <v>10</v>
      </c>
      <c r="M292" s="11">
        <v>20</v>
      </c>
    </row>
    <row r="293" spans="1:13" ht="16.5" customHeight="1">
      <c r="A293" s="8">
        <v>3522</v>
      </c>
      <c r="B293" s="8" t="s">
        <v>308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34</v>
      </c>
      <c r="H293" s="8" t="s">
        <v>30</v>
      </c>
      <c r="I293" s="20">
        <v>0</v>
      </c>
      <c r="J293" s="8" t="s">
        <v>30</v>
      </c>
      <c r="K293" s="20">
        <v>0</v>
      </c>
      <c r="L293" s="20">
        <v>0</v>
      </c>
      <c r="M293" s="11">
        <v>5</v>
      </c>
    </row>
    <row r="294" spans="1:13" ht="16.5" customHeight="1">
      <c r="A294" s="8">
        <v>3523</v>
      </c>
      <c r="B294" s="8" t="s">
        <v>309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20">
        <v>30</v>
      </c>
      <c r="J294" s="8" t="s">
        <v>26</v>
      </c>
      <c r="K294" s="20">
        <v>20</v>
      </c>
      <c r="L294" s="20">
        <v>3</v>
      </c>
      <c r="M294" s="11">
        <v>62</v>
      </c>
    </row>
    <row r="295" spans="1:13" ht="16.5" customHeight="1">
      <c r="A295" s="8">
        <v>3524</v>
      </c>
      <c r="B295" s="8" t="s">
        <v>310</v>
      </c>
      <c r="C295" s="8" t="s">
        <v>33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20">
        <v>0</v>
      </c>
      <c r="J295" s="8" t="s">
        <v>26</v>
      </c>
      <c r="K295" s="20">
        <v>20</v>
      </c>
      <c r="L295" s="20">
        <v>15</v>
      </c>
      <c r="M295" s="11">
        <v>15</v>
      </c>
    </row>
    <row r="296" spans="1:13" ht="16.5" customHeight="1">
      <c r="A296" s="8">
        <v>3525</v>
      </c>
      <c r="B296" s="8" t="s">
        <v>311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20">
        <v>0</v>
      </c>
      <c r="J296" s="8" t="s">
        <v>30</v>
      </c>
      <c r="K296" s="20">
        <v>0</v>
      </c>
      <c r="L296" s="20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88"/>
  <sheetViews>
    <sheetView showGridLines="0" tabSelected="1" topLeftCell="A44" workbookViewId="0">
      <selection activeCell="F64" sqref="F64"/>
    </sheetView>
  </sheetViews>
  <sheetFormatPr defaultRowHeight="15"/>
  <cols>
    <col min="2" max="2" width="36.5703125" bestFit="1" customWidth="1"/>
    <col min="3" max="3" width="31.42578125" bestFit="1" customWidth="1"/>
    <col min="4" max="4" width="33.85546875" bestFit="1" customWidth="1"/>
    <col min="5" max="5" width="25.140625" bestFit="1" customWidth="1"/>
    <col min="6" max="7" width="9.28515625" bestFit="1" customWidth="1"/>
    <col min="8" max="8" width="9.28515625" customWidth="1"/>
    <col min="9" max="9" width="9.28515625" bestFit="1" customWidth="1"/>
    <col min="10" max="10" width="11.28515625" bestFit="1" customWidth="1"/>
    <col min="11" max="12" width="9.28515625" bestFit="1" customWidth="1"/>
    <col min="13" max="14" width="11.28515625" bestFit="1" customWidth="1"/>
    <col min="15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2"/>
      <c r="C3" s="22"/>
      <c r="D3" s="22"/>
      <c r="E3" s="22"/>
      <c r="F3" s="22"/>
    </row>
    <row r="6" spans="2:6" ht="57.75" customHeight="1">
      <c r="B6" s="23" t="s">
        <v>312</v>
      </c>
      <c r="C6" s="23"/>
      <c r="D6" s="23"/>
      <c r="E6" s="23"/>
    </row>
    <row r="7" spans="2:6" ht="57.75" customHeight="1">
      <c r="B7" s="23" t="s">
        <v>313</v>
      </c>
      <c r="C7" s="23"/>
      <c r="D7" s="23"/>
      <c r="E7" s="23"/>
    </row>
    <row r="9" spans="2:6">
      <c r="B9" s="12" t="s">
        <v>17</v>
      </c>
      <c r="C9" t="s">
        <v>34</v>
      </c>
    </row>
    <row r="11" spans="2:6">
      <c r="B11" s="12" t="s">
        <v>314</v>
      </c>
      <c r="C11" t="s">
        <v>315</v>
      </c>
    </row>
    <row r="12" spans="2:6">
      <c r="B12" s="14" t="s">
        <v>30</v>
      </c>
      <c r="C12" s="13">
        <v>806</v>
      </c>
    </row>
    <row r="13" spans="2:6">
      <c r="B13" s="14" t="s">
        <v>26</v>
      </c>
      <c r="C13" s="13">
        <v>1502</v>
      </c>
    </row>
    <row r="14" spans="2:6">
      <c r="B14" s="14" t="s">
        <v>316</v>
      </c>
      <c r="C14" s="13">
        <v>2308</v>
      </c>
    </row>
    <row r="16" spans="2:6">
      <c r="B16" s="24" t="s">
        <v>317</v>
      </c>
      <c r="C16" s="24"/>
      <c r="D16" s="24"/>
      <c r="E16" s="24"/>
    </row>
    <row r="17" spans="2:5">
      <c r="B17" s="24"/>
      <c r="C17" s="24"/>
      <c r="D17" s="24"/>
      <c r="E17" s="24"/>
    </row>
    <row r="19" spans="2:5">
      <c r="B19" s="12" t="s">
        <v>17</v>
      </c>
      <c r="C19" t="s">
        <v>34</v>
      </c>
    </row>
    <row r="21" spans="2:5">
      <c r="B21" s="12" t="s">
        <v>314</v>
      </c>
      <c r="C21" t="s">
        <v>318</v>
      </c>
    </row>
    <row r="22" spans="2:5">
      <c r="B22" s="14" t="s">
        <v>29</v>
      </c>
      <c r="C22" s="15">
        <v>0</v>
      </c>
    </row>
    <row r="23" spans="2:5">
      <c r="B23" s="14" t="s">
        <v>33</v>
      </c>
      <c r="C23" s="15">
        <v>0</v>
      </c>
    </row>
    <row r="24" spans="2:5">
      <c r="B24" s="14" t="s">
        <v>25</v>
      </c>
      <c r="C24" s="15">
        <v>990</v>
      </c>
    </row>
    <row r="25" spans="2:5">
      <c r="B25" s="14" t="s">
        <v>316</v>
      </c>
      <c r="C25" s="15">
        <v>990</v>
      </c>
      <c r="E25" s="17">
        <f>GETPIVOTDATA("EA Play Season Pass
Price",$B$21)</f>
        <v>990</v>
      </c>
    </row>
    <row r="28" spans="2:5">
      <c r="B28" s="24" t="s">
        <v>319</v>
      </c>
      <c r="C28" s="24"/>
      <c r="D28" s="24"/>
      <c r="E28" s="24"/>
    </row>
    <row r="30" spans="2:5">
      <c r="B30" s="12" t="s">
        <v>17</v>
      </c>
      <c r="C30" t="s">
        <v>34</v>
      </c>
    </row>
    <row r="32" spans="2:5">
      <c r="B32" s="12" t="s">
        <v>314</v>
      </c>
      <c r="C32" t="s">
        <v>320</v>
      </c>
    </row>
    <row r="33" spans="2:6">
      <c r="B33" s="14" t="s">
        <v>29</v>
      </c>
      <c r="C33" s="13">
        <v>0</v>
      </c>
    </row>
    <row r="34" spans="2:6">
      <c r="B34" s="14" t="s">
        <v>33</v>
      </c>
      <c r="C34" s="13">
        <v>480</v>
      </c>
    </row>
    <row r="35" spans="2:6">
      <c r="B35" s="14" t="s">
        <v>25</v>
      </c>
      <c r="C35" s="13">
        <v>660</v>
      </c>
    </row>
    <row r="36" spans="2:6">
      <c r="B36" s="14" t="s">
        <v>316</v>
      </c>
      <c r="C36" s="13">
        <v>1140</v>
      </c>
      <c r="E36" s="17">
        <f>GETPIVOTDATA("Minecraft Season Pass Price",$B$32)</f>
        <v>1140</v>
      </c>
    </row>
    <row r="39" spans="2:6">
      <c r="B39" s="24" t="s">
        <v>321</v>
      </c>
      <c r="C39" s="24"/>
      <c r="D39" s="24"/>
      <c r="E39" s="24"/>
    </row>
    <row r="41" spans="2:6">
      <c r="B41" s="12" t="s">
        <v>17</v>
      </c>
      <c r="C41" t="s">
        <v>34</v>
      </c>
    </row>
    <row r="43" spans="2:6">
      <c r="B43" s="12" t="s">
        <v>322</v>
      </c>
      <c r="C43" s="12" t="s">
        <v>323</v>
      </c>
    </row>
    <row r="44" spans="2:6">
      <c r="B44" s="12" t="s">
        <v>314</v>
      </c>
      <c r="C44" t="s">
        <v>29</v>
      </c>
      <c r="D44" t="s">
        <v>33</v>
      </c>
      <c r="E44" t="s">
        <v>25</v>
      </c>
      <c r="F44" t="s">
        <v>316</v>
      </c>
    </row>
    <row r="45" spans="2:6">
      <c r="B45" s="14" t="s">
        <v>30</v>
      </c>
      <c r="C45" s="15">
        <v>8</v>
      </c>
      <c r="D45" s="15">
        <v>3</v>
      </c>
      <c r="E45" s="15">
        <v>14</v>
      </c>
      <c r="F45" s="15">
        <v>25</v>
      </c>
    </row>
    <row r="46" spans="2:6">
      <c r="B46" s="14" t="s">
        <v>26</v>
      </c>
      <c r="C46" s="15">
        <v>20</v>
      </c>
      <c r="D46" s="15">
        <v>21</v>
      </c>
      <c r="E46" s="15">
        <v>19</v>
      </c>
      <c r="F46" s="15">
        <v>60</v>
      </c>
    </row>
    <row r="47" spans="2:6">
      <c r="B47" s="14" t="s">
        <v>316</v>
      </c>
      <c r="C47" s="15">
        <v>28</v>
      </c>
      <c r="D47" s="15">
        <v>24</v>
      </c>
      <c r="E47" s="15">
        <v>33</v>
      </c>
      <c r="F47" s="15">
        <v>85</v>
      </c>
    </row>
    <row r="55" spans="2:6">
      <c r="B55" s="24" t="s">
        <v>324</v>
      </c>
      <c r="C55" s="24"/>
      <c r="D55" s="24"/>
      <c r="E55" s="24"/>
      <c r="F55" s="24"/>
    </row>
    <row r="62" spans="2:6">
      <c r="B62" s="12" t="s">
        <v>17</v>
      </c>
      <c r="C62" t="s">
        <v>34</v>
      </c>
    </row>
    <row r="64" spans="2:6">
      <c r="B64" s="12" t="s">
        <v>314</v>
      </c>
      <c r="C64" t="s">
        <v>325</v>
      </c>
      <c r="D64" t="s">
        <v>322</v>
      </c>
    </row>
    <row r="65" spans="2:5">
      <c r="B65" s="14" t="s">
        <v>29</v>
      </c>
      <c r="C65" s="13">
        <v>8</v>
      </c>
      <c r="D65" s="15">
        <v>28</v>
      </c>
    </row>
    <row r="66" spans="2:5">
      <c r="B66" s="14" t="s">
        <v>33</v>
      </c>
      <c r="C66" s="13">
        <v>325</v>
      </c>
      <c r="D66" s="15">
        <v>24</v>
      </c>
    </row>
    <row r="67" spans="2:5">
      <c r="B67" s="14" t="s">
        <v>25</v>
      </c>
      <c r="C67" s="13">
        <v>364</v>
      </c>
      <c r="D67" s="15">
        <v>33</v>
      </c>
    </row>
    <row r="68" spans="2:5">
      <c r="B68" s="14" t="s">
        <v>316</v>
      </c>
      <c r="C68" s="13">
        <v>697</v>
      </c>
      <c r="D68" s="15">
        <v>85</v>
      </c>
    </row>
    <row r="72" spans="2:5">
      <c r="B72" s="12" t="s">
        <v>17</v>
      </c>
      <c r="C72" t="s">
        <v>34</v>
      </c>
    </row>
    <row r="74" spans="2:5">
      <c r="B74" s="12" t="s">
        <v>314</v>
      </c>
      <c r="C74" t="s">
        <v>315</v>
      </c>
    </row>
    <row r="75" spans="2:5">
      <c r="B75" s="14" t="s">
        <v>29</v>
      </c>
      <c r="C75" s="13">
        <v>132</v>
      </c>
    </row>
    <row r="76" spans="2:5">
      <c r="B76" s="14" t="s">
        <v>33</v>
      </c>
      <c r="C76" s="13">
        <v>395</v>
      </c>
    </row>
    <row r="77" spans="2:5">
      <c r="B77" s="14" t="s">
        <v>25</v>
      </c>
      <c r="C77" s="13">
        <v>1781</v>
      </c>
      <c r="E77" s="13">
        <f>C68</f>
        <v>697</v>
      </c>
    </row>
    <row r="78" spans="2:5">
      <c r="B78" s="14" t="s">
        <v>316</v>
      </c>
      <c r="C78" s="13">
        <v>2308</v>
      </c>
      <c r="E78" s="21">
        <f>C78</f>
        <v>2308</v>
      </c>
    </row>
    <row r="81" spans="2:5">
      <c r="B81" s="12" t="s">
        <v>17</v>
      </c>
      <c r="C81" t="s">
        <v>34</v>
      </c>
    </row>
    <row r="83" spans="2:5">
      <c r="B83" s="12" t="s">
        <v>314</v>
      </c>
      <c r="C83" t="s">
        <v>326</v>
      </c>
      <c r="D83" t="s">
        <v>320</v>
      </c>
      <c r="E83" t="s">
        <v>327</v>
      </c>
    </row>
    <row r="84" spans="2:5">
      <c r="B84" s="14" t="s">
        <v>29</v>
      </c>
      <c r="C84" s="13">
        <v>0</v>
      </c>
      <c r="D84" s="13">
        <v>0</v>
      </c>
      <c r="E84" s="13">
        <v>140</v>
      </c>
    </row>
    <row r="85" spans="2:5">
      <c r="B85" s="14" t="s">
        <v>33</v>
      </c>
      <c r="C85" s="13">
        <v>0</v>
      </c>
      <c r="D85" s="13">
        <v>480</v>
      </c>
      <c r="E85" s="13">
        <v>240</v>
      </c>
    </row>
    <row r="86" spans="2:5">
      <c r="B86" s="14" t="s">
        <v>25</v>
      </c>
      <c r="C86" s="13">
        <v>990</v>
      </c>
      <c r="D86" s="13">
        <v>660</v>
      </c>
      <c r="E86" s="13">
        <v>495</v>
      </c>
    </row>
    <row r="87" spans="2:5">
      <c r="B87" s="14" t="s">
        <v>316</v>
      </c>
      <c r="C87" s="13">
        <v>990</v>
      </c>
      <c r="D87" s="13">
        <v>1140</v>
      </c>
      <c r="E87" s="13">
        <v>875</v>
      </c>
    </row>
    <row r="88" spans="2:5">
      <c r="C88" s="13"/>
    </row>
  </sheetData>
  <mergeCells count="7">
    <mergeCell ref="B39:E39"/>
    <mergeCell ref="B55:F55"/>
    <mergeCell ref="B3:F3"/>
    <mergeCell ref="B6:E6"/>
    <mergeCell ref="B7:E7"/>
    <mergeCell ref="B16:E17"/>
    <mergeCell ref="B28:E28"/>
  </mergeCells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zoomScaleNormal="100" workbookViewId="0">
      <selection activeCell="S9" sqref="S9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B26109AA-4A63-4ABA-9238-1315B3F7E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2025-11-25T03:00:04Z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